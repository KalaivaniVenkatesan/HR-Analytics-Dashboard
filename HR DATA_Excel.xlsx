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Ex3.xml" ContentType="application/vnd.ms-office.chartex+xml"/>
  <Override PartName="/xl/charts/style16.xml" ContentType="application/vnd.ms-office.chartstyle+xml"/>
  <Override PartName="/xl/charts/colors16.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Ex4.xml" ContentType="application/vnd.ms-office.chartex+xml"/>
  <Override PartName="/xl/charts/style18.xml" ContentType="application/vnd.ms-office.chartstyle+xml"/>
  <Override PartName="/xl/charts/colors18.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k8890\OneDrive\Documents\Desktop\Data Analytics\Project\HR project\Excel\"/>
    </mc:Choice>
  </mc:AlternateContent>
  <xr:revisionPtr revIDLastSave="0" documentId="8_{C4441F76-1823-4396-9773-F32C173F3A24}" xr6:coauthVersionLast="47" xr6:coauthVersionMax="47" xr10:uidLastSave="{00000000-0000-0000-0000-000000000000}"/>
  <bookViews>
    <workbookView xWindow="-108" yWindow="-108" windowWidth="23256" windowHeight="12456" xr2:uid="{00000000-000D-0000-FFFF-FFFF00000000}"/>
  </bookViews>
  <sheets>
    <sheet name="Sheet10" sheetId="17" r:id="rId1"/>
    <sheet name="Sheet1" sheetId="7" r:id="rId2"/>
    <sheet name="Sheet2" sheetId="8" r:id="rId3"/>
    <sheet name="Sheet3" sheetId="9" r:id="rId4"/>
    <sheet name="Sheet4" sheetId="10" r:id="rId5"/>
    <sheet name="Sheet5" sheetId="11" r:id="rId6"/>
    <sheet name="Sheet6" sheetId="12" r:id="rId7"/>
    <sheet name="Sheet8" sheetId="15" r:id="rId8"/>
    <sheet name="Sheet9" sheetId="16" r:id="rId9"/>
    <sheet name="Sheet11" sheetId="19" r:id="rId10"/>
    <sheet name="Detail1" sheetId="13" r:id="rId11"/>
    <sheet name="Detail2" sheetId="20" r:id="rId12"/>
    <sheet name="Data" sheetId="1" r:id="rId13"/>
  </sheets>
  <definedNames>
    <definedName name="_xlchart.v1.1" hidden="1">Sheet6!$D$4:$D$12</definedName>
    <definedName name="_xlchart.v1.2" hidden="1">Sheet6!$E$4:$E$12</definedName>
    <definedName name="_xlchart.v1.3" hidden="1">Sheet6!$D$4:$D$12</definedName>
    <definedName name="_xlchart.v1.4" hidden="1">Sheet6!$E$4:$E$12</definedName>
    <definedName name="_xlchart.v2.0" hidden="1">Sheet9!$D$4:$D$6</definedName>
    <definedName name="_xlchart.v2.5" hidden="1">Sheet9!$D$4:$D$6</definedName>
    <definedName name="Slicer_Department">#N/A</definedName>
    <definedName name="Slicer_Education_Field">#N/A</definedName>
    <definedName name="Slicer_Gender">#N/A</definedName>
    <definedName name="Slicer_Gender1">#N/A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24" roundtripDataChecksum="0W7NtiAel2xy0cZdwUBcRsMoEuXg6pzXui43o1bypBA="/>
    </ext>
  </extLst>
</workbook>
</file>

<file path=xl/calcChain.xml><?xml version="1.0" encoding="utf-8"?>
<calcChain xmlns="http://schemas.openxmlformats.org/spreadsheetml/2006/main">
  <c r="D6" i="12" l="1"/>
  <c r="D5" i="12"/>
  <c r="D4" i="12"/>
  <c r="D6" i="16"/>
  <c r="B8" i="7"/>
  <c r="A8" i="7"/>
  <c r="C8" i="7"/>
  <c r="D5" i="16"/>
  <c r="D4" i="16"/>
  <c r="B7" i="8"/>
  <c r="B6" i="8"/>
  <c r="B10" i="9"/>
  <c r="B9" i="9"/>
  <c r="E5" i="12"/>
  <c r="E6" i="12"/>
  <c r="E4" i="12"/>
  <c r="D8" i="7" l="1"/>
  <c r="E8" i="7"/>
  <c r="C9" i="9"/>
  <c r="C10" i="9"/>
</calcChain>
</file>

<file path=xl/sharedStrings.xml><?xml version="1.0" encoding="utf-8"?>
<sst xmlns="http://schemas.openxmlformats.org/spreadsheetml/2006/main" count="23789" uniqueCount="1574">
  <si>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</si>
  <si>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</si>
  <si>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</si>
  <si>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</si>
  <si>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</si>
  <si>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</si>
  <si>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</si>
  <si>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</si>
  <si>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</si>
  <si>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</si>
  <si>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</si>
  <si>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</si>
  <si>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</si>
  <si>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</si>
  <si>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</si>
  <si>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</si>
  <si>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</si>
  <si>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</si>
  <si>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</si>
  <si>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</si>
  <si>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</si>
  <si>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</si>
  <si>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</si>
  <si>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</si>
  <si>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</si>
  <si>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</si>
  <si>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</si>
  <si>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</si>
  <si>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</si>
  <si>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</si>
  <si>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</si>
  <si>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</si>
  <si>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</si>
  <si>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</si>
  <si>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</si>
  <si>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</si>
  <si>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</si>
  <si>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</si>
  <si>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</si>
  <si>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</si>
  <si>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</si>
  <si>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</si>
  <si>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</si>
  <si>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</si>
  <si>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</si>
  <si>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</si>
  <si>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</si>
  <si>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</si>
  <si>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</si>
  <si>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</si>
  <si>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</si>
  <si>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</si>
  <si>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</si>
  <si>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</si>
  <si>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</si>
  <si>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</si>
  <si>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</si>
  <si>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</si>
  <si>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</si>
  <si>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</si>
  <si>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</si>
  <si>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</si>
  <si>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</si>
  <si>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</si>
  <si>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</si>
  <si>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</si>
  <si>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</si>
  <si>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</si>
  <si>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</si>
  <si>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</si>
  <si>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</si>
  <si>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</si>
  <si>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</si>
  <si>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</si>
  <si>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</si>
  <si>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</si>
  <si>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</si>
  <si>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</si>
  <si>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</si>
  <si>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</si>
  <si>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</si>
  <si>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</si>
  <si>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</si>
  <si>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</si>
  <si>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</si>
  <si>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</si>
  <si>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</si>
  <si>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</si>
  <si>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</si>
  <si>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</si>
  <si>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</si>
  <si>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</si>
  <si>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</si>
  <si>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</si>
  <si>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</si>
  <si>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</si>
  <si>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</si>
  <si>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</si>
  <si>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</si>
  <si>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</si>
  <si>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</si>
  <si>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</si>
  <si>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</si>
  <si>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</si>
  <si>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</si>
  <si>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</si>
  <si>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</si>
  <si>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</si>
  <si>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</si>
  <si>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</si>
  <si>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</si>
  <si>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</si>
  <si>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</si>
  <si>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</si>
  <si>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</si>
  <si>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</si>
  <si>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</si>
  <si>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</si>
  <si>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</si>
  <si>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</si>
  <si>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</si>
  <si>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</si>
  <si>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</si>
  <si>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</si>
  <si>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</si>
  <si>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</si>
  <si>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</si>
  <si>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</si>
  <si>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</si>
  <si>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</si>
  <si>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</si>
  <si>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</si>
  <si>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</si>
  <si>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</si>
  <si>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</si>
  <si>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</si>
  <si>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</si>
  <si>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</si>
  <si>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</si>
  <si>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</si>
  <si>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</si>
  <si>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</si>
  <si>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</si>
  <si>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</si>
  <si>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</si>
  <si>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</si>
  <si>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</si>
  <si>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</si>
  <si>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</si>
  <si>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</si>
  <si>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</si>
  <si>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</si>
  <si>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</si>
  <si>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</si>
  <si>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</si>
  <si>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</si>
  <si>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</si>
  <si>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</si>
  <si>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</si>
  <si>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</si>
  <si>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</si>
  <si>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</si>
  <si>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</si>
  <si>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</si>
  <si>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</si>
  <si>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</si>
  <si>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</si>
  <si>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</si>
  <si>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</si>
  <si>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</si>
  <si>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</si>
  <si>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</si>
  <si>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</si>
  <si>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</si>
  <si>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</si>
  <si>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</si>
  <si>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</si>
  <si>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</si>
  <si>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</si>
  <si>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</si>
  <si>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</si>
  <si>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</si>
  <si>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</si>
  <si>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</si>
  <si>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</si>
  <si>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</si>
  <si>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</si>
  <si>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</si>
  <si>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</si>
  <si>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</si>
  <si>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</si>
  <si>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</si>
  <si>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</si>
  <si>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</si>
  <si>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</si>
  <si>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</si>
  <si>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</si>
  <si>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</si>
  <si>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</si>
  <si>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</si>
  <si>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</si>
  <si>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</si>
  <si>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</si>
  <si>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</si>
  <si>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</si>
  <si>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</si>
  <si>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</si>
  <si>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</si>
  <si>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</si>
  <si>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</si>
  <si>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</si>
  <si>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</si>
  <si>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</si>
  <si>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</si>
  <si>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</si>
  <si>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</si>
  <si>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</si>
  <si>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</si>
  <si>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</si>
  <si>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</si>
  <si>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</si>
  <si>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</si>
  <si>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</si>
  <si>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</si>
  <si>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</si>
  <si>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</si>
  <si>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</si>
  <si>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</si>
  <si>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</si>
  <si>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</si>
  <si>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</si>
  <si>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</si>
  <si>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</si>
  <si>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</si>
  <si>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</si>
  <si>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</si>
  <si>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</si>
  <si>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</si>
  <si>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</si>
  <si>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</si>
  <si>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</si>
  <si>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</si>
  <si>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</si>
  <si>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</si>
  <si>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</si>
  <si>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</si>
  <si>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</si>
  <si>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</si>
  <si>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</si>
  <si>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</si>
  <si>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</si>
  <si>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</si>
  <si>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</si>
  <si>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</si>
  <si>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</si>
  <si>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</si>
  <si>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</si>
  <si>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</si>
  <si>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</si>
  <si>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</si>
  <si>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</si>
  <si>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</si>
  <si>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</si>
  <si>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</si>
  <si>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</si>
  <si>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</si>
  <si>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</si>
  <si>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</si>
  <si>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</si>
  <si>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</si>
  <si>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</si>
  <si>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</si>
  <si>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</si>
  <si>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</si>
  <si>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</si>
  <si>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</si>
  <si>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</si>
  <si>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</si>
  <si>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</si>
  <si>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</si>
  <si>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</si>
  <si>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</si>
  <si>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</si>
  <si>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</si>
  <si>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</si>
  <si>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</si>
  <si>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</si>
  <si>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</si>
  <si>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</si>
  <si>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</si>
  <si>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</si>
  <si>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</si>
  <si>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</si>
  <si>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</si>
  <si>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</si>
  <si>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</si>
  <si>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</si>
  <si>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</si>
  <si>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</si>
  <si>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</si>
  <si>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</si>
  <si>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</si>
  <si>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</si>
  <si>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</si>
  <si>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</si>
  <si>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</si>
  <si>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</si>
  <si>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</si>
  <si>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</si>
  <si>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</si>
  <si>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</si>
  <si>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</si>
  <si>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</si>
  <si>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</si>
  <si>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</si>
  <si>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</si>
  <si>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</si>
  <si>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</si>
  <si>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</si>
  <si>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</si>
  <si>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</si>
  <si>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</si>
  <si>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</si>
  <si>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</si>
  <si>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</si>
  <si>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</si>
  <si>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</si>
  <si>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</si>
  <si>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</si>
  <si>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</si>
  <si>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</si>
  <si>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</si>
  <si>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</si>
  <si>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</si>
  <si>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</si>
  <si>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</si>
  <si>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</si>
  <si>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</si>
  <si>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</si>
  <si>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</si>
  <si>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</si>
  <si>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</si>
  <si>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</si>
  <si>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</si>
  <si>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</si>
  <si>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</si>
  <si>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</si>
  <si>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</si>
  <si>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</si>
  <si>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</si>
  <si>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</si>
  <si>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</si>
  <si>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</si>
  <si>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</si>
  <si>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</si>
  <si>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</si>
  <si>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</si>
  <si>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</si>
  <si>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</si>
  <si>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</si>
  <si>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</si>
  <si>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</si>
  <si>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</si>
  <si>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</si>
  <si>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</si>
  <si>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</si>
  <si>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</si>
  <si>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</si>
  <si>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</si>
  <si>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</si>
  <si>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</si>
  <si>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</si>
  <si>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</si>
  <si>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</si>
  <si>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</si>
  <si>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</si>
  <si>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</si>
  <si>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</si>
  <si>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</si>
  <si>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</si>
  <si>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</si>
  <si>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</si>
  <si>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</si>
  <si>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</si>
  <si>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</si>
  <si>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</si>
  <si>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</si>
  <si>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</si>
  <si>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</si>
  <si>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</si>
  <si>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</si>
  <si>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</si>
  <si>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</si>
  <si>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</si>
  <si>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</si>
  <si>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</si>
  <si>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</si>
  <si>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</si>
  <si>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</si>
  <si>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</si>
  <si>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</si>
  <si>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</si>
  <si>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</si>
  <si>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</si>
  <si>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</si>
  <si>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</si>
  <si>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</si>
  <si>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</si>
  <si>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</si>
  <si>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</si>
  <si>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</si>
  <si>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</si>
  <si>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</si>
  <si>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</si>
  <si>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</si>
  <si>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</si>
  <si>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</si>
  <si>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</si>
  <si>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</si>
  <si>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</si>
  <si>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</si>
  <si>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</si>
  <si>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</si>
  <si>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</si>
  <si>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</si>
  <si>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</si>
  <si>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</si>
  <si>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</si>
  <si>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</si>
  <si>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</si>
  <si>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</si>
  <si>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</si>
  <si>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</si>
  <si>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</si>
  <si>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</si>
  <si>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</si>
  <si>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</si>
  <si>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</si>
  <si>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</si>
  <si>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</si>
  <si>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</si>
  <si>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</si>
  <si>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</si>
  <si>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</si>
  <si>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</si>
  <si>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</si>
  <si>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</si>
  <si>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</si>
  <si>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</si>
  <si>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</si>
  <si>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</si>
  <si>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</si>
  <si>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</si>
  <si>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</si>
  <si>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</si>
  <si>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</si>
  <si>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</si>
  <si>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</si>
  <si>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</si>
  <si>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</si>
  <si>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</si>
  <si>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</si>
  <si>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</si>
  <si>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</si>
  <si>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</si>
  <si>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</si>
  <si>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</si>
  <si>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</si>
  <si>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</si>
  <si>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</si>
  <si>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</si>
  <si>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</si>
  <si>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</si>
  <si>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</si>
  <si>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</si>
  <si>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</si>
  <si>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</si>
  <si>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</si>
  <si>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</si>
  <si>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</si>
  <si>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</si>
  <si>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</si>
  <si>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</si>
  <si>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</si>
  <si>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</si>
  <si>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</si>
  <si>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</si>
  <si>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</si>
  <si>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</si>
  <si>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</si>
  <si>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</si>
  <si>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</si>
  <si>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</si>
  <si>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</si>
  <si>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</si>
  <si>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</si>
  <si>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</si>
  <si>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</si>
  <si>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</si>
  <si>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</si>
  <si>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</si>
  <si>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</si>
  <si>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</si>
  <si>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</si>
  <si>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</si>
  <si>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</si>
  <si>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</si>
  <si>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</si>
  <si>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</si>
  <si>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</si>
  <si>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</si>
  <si>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</si>
  <si>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</si>
  <si>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</si>
  <si>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</si>
  <si>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</si>
  <si>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</si>
  <si>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</si>
  <si>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</si>
  <si>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</si>
  <si>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</si>
  <si>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</si>
  <si>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</si>
  <si>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</si>
  <si>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</si>
  <si>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</si>
  <si>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</si>
  <si>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</si>
  <si>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</si>
  <si>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</si>
  <si>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</si>
  <si>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</si>
  <si>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</si>
  <si>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</si>
  <si>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</si>
  <si>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</si>
  <si>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</si>
  <si>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</si>
  <si>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</si>
  <si>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</si>
  <si>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</si>
  <si>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</si>
  <si>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</si>
  <si>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</si>
  <si>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</si>
  <si>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</si>
  <si>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</si>
  <si>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</si>
  <si>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</si>
  <si>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</si>
  <si>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</si>
  <si>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</si>
  <si>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</si>
  <si>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</si>
  <si>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</si>
  <si>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</si>
  <si>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</si>
  <si>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</si>
  <si>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</si>
  <si>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</si>
  <si>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</si>
  <si>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</si>
  <si>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</si>
  <si>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</si>
  <si>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</si>
  <si>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</si>
  <si>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</si>
  <si>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</si>
  <si>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</si>
  <si>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</si>
  <si>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</si>
  <si>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</si>
  <si>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</si>
  <si>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</si>
  <si>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</si>
  <si>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</si>
  <si>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</si>
  <si>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</si>
  <si>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</si>
  <si>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</si>
  <si>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</si>
  <si>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</si>
  <si>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</si>
  <si>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</si>
  <si>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</si>
  <si>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</si>
  <si>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</si>
  <si>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</si>
  <si>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</si>
  <si>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</si>
  <si>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</si>
  <si>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</si>
  <si>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</si>
  <si>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</si>
  <si>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</si>
  <si>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</si>
  <si>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</si>
  <si>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</si>
  <si>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</si>
  <si>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</si>
  <si>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</si>
  <si>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</si>
  <si>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</si>
  <si>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</si>
  <si>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</si>
  <si>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</si>
  <si>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</si>
  <si>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</si>
  <si>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</si>
  <si>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</si>
  <si>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</si>
  <si>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</si>
  <si>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</si>
  <si>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</si>
  <si>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</si>
  <si>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</si>
  <si>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</si>
  <si>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</si>
  <si>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</si>
  <si>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</si>
  <si>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</si>
  <si>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</si>
  <si>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</si>
  <si>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</si>
  <si>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</si>
  <si>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</si>
  <si>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</si>
  <si>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</si>
  <si>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</si>
  <si>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</si>
  <si>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</si>
  <si>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</si>
  <si>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</si>
  <si>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</si>
  <si>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</si>
  <si>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</si>
  <si>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</si>
  <si>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</si>
  <si>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</si>
  <si>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</si>
  <si>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</si>
  <si>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</si>
  <si>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</si>
  <si>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</si>
  <si>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</si>
  <si>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</si>
  <si>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</si>
  <si>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</si>
  <si>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</si>
  <si>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</si>
  <si>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</si>
  <si>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</si>
  <si>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</si>
  <si>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</si>
  <si>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</si>
  <si>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</si>
  <si>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</si>
  <si>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</si>
  <si>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</si>
  <si>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</si>
  <si>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</si>
  <si>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</si>
  <si>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</si>
  <si>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</si>
  <si>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</si>
  <si>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</si>
  <si>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</si>
  <si>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</si>
  <si>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</si>
  <si>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</si>
  <si>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</si>
  <si>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</si>
  <si>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</si>
  <si>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</si>
  <si>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</si>
  <si>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</si>
  <si>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</si>
  <si>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</si>
  <si>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</si>
  <si>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</si>
  <si>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</si>
  <si>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</si>
  <si>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</si>
  <si>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</si>
  <si>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</si>
  <si>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</si>
  <si>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</si>
  <si>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</si>
  <si>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</si>
  <si>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</si>
  <si>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</si>
  <si>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</si>
  <si>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</si>
  <si>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</si>
  <si>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</si>
  <si>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</si>
  <si>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</si>
  <si>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</si>
  <si>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</si>
  <si>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</si>
  <si>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</si>
  <si>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</si>
  <si>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</si>
  <si>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</si>
  <si>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</si>
  <si>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</si>
  <si>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</si>
  <si>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</si>
  <si>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</si>
  <si>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</si>
  <si>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</si>
  <si>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</si>
  <si>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</si>
  <si>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</si>
  <si>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</si>
  <si>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</si>
  <si>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</si>
  <si>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</si>
  <si>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</si>
  <si>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</si>
  <si>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</si>
  <si>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</si>
  <si>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</si>
  <si>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</si>
  <si>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</si>
  <si>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</si>
  <si>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</si>
  <si>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</si>
  <si>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</si>
  <si>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</si>
  <si>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</si>
  <si>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</si>
  <si>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</si>
  <si>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</si>
  <si>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</si>
  <si>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</si>
  <si>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</si>
  <si>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</si>
  <si>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</si>
  <si>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</si>
  <si>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</si>
  <si>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</si>
  <si>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</si>
  <si>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</si>
  <si>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</si>
  <si>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</si>
  <si>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</si>
  <si>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</si>
  <si>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</si>
  <si>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</si>
  <si>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</si>
  <si>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</si>
  <si>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</si>
  <si>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</si>
  <si>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</si>
  <si>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</si>
  <si>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</si>
  <si>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</si>
  <si>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</si>
  <si>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</si>
  <si>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</si>
  <si>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</si>
  <si>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</si>
  <si>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</si>
  <si>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</si>
  <si>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</si>
  <si>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</si>
  <si>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</si>
  <si>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</si>
  <si>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</si>
  <si>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</si>
  <si>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</si>
  <si>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</si>
  <si>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</si>
  <si>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</si>
  <si>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</si>
  <si>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</si>
  <si>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</si>
  <si>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</si>
  <si>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</si>
  <si>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</si>
  <si>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</si>
  <si>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</si>
  <si>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</si>
  <si>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</si>
  <si>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</si>
  <si>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</si>
  <si>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</si>
  <si>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</si>
  <si>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</si>
  <si>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</si>
  <si>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</si>
  <si>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</si>
  <si>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</si>
  <si>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</si>
  <si>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</si>
  <si>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</si>
  <si>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</si>
  <si>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</si>
  <si>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</si>
  <si>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</si>
  <si>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</si>
  <si>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</si>
  <si>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</si>
  <si>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</si>
  <si>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</si>
  <si>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</si>
  <si>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</si>
  <si>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</si>
  <si>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</si>
  <si>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</si>
  <si>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</si>
  <si>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</si>
  <si>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</si>
  <si>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</si>
  <si>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</si>
  <si>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</si>
  <si>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</si>
  <si>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</si>
  <si>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</si>
  <si>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</si>
  <si>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</si>
  <si>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</si>
  <si>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</si>
  <si>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</si>
  <si>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</si>
  <si>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</si>
  <si>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</si>
  <si>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</si>
  <si>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</si>
  <si>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</si>
  <si>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</si>
  <si>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</si>
  <si>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</si>
  <si>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</si>
  <si>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</si>
  <si>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</si>
  <si>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</si>
  <si>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</si>
  <si>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</si>
  <si>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</si>
  <si>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</si>
  <si>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</si>
  <si>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</si>
  <si>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</si>
  <si>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</si>
  <si>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</si>
  <si>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</si>
  <si>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</si>
  <si>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</si>
  <si>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</si>
  <si>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</si>
  <si>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</si>
  <si>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</si>
  <si>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</si>
  <si>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</si>
  <si>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</si>
  <si>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</si>
  <si>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</si>
  <si>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</si>
  <si>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</si>
  <si>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</si>
  <si>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</si>
  <si>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</si>
  <si>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</si>
  <si>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</si>
  <si>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</si>
  <si>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</si>
  <si>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</si>
  <si>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</si>
  <si>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</si>
  <si>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</si>
  <si>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</si>
  <si>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</si>
  <si>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</si>
  <si>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</si>
  <si>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</si>
  <si>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</si>
  <si>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</si>
  <si>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</si>
  <si>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</si>
  <si>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</si>
  <si>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</si>
  <si>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</si>
  <si>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</si>
  <si>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</si>
  <si>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</si>
  <si>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</si>
  <si>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</si>
  <si>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</si>
  <si>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</si>
  <si>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</si>
  <si>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</si>
  <si>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</si>
  <si>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</si>
  <si>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</si>
  <si>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</si>
  <si>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</si>
  <si>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</si>
  <si>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</si>
  <si>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</si>
  <si>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</si>
  <si>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</si>
  <si>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</si>
  <si>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</si>
  <si>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</si>
  <si>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</si>
  <si>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</si>
  <si>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</si>
  <si>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</si>
  <si>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</si>
  <si>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</si>
  <si>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</si>
  <si>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</si>
  <si>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</si>
  <si>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</si>
  <si>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</si>
  <si>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</si>
  <si>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</si>
  <si>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</si>
  <si>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</si>
  <si>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</si>
  <si>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</si>
  <si>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</si>
  <si>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</si>
  <si>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</si>
  <si>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</si>
  <si>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</si>
  <si>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</si>
  <si>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</si>
  <si>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</si>
  <si>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</si>
  <si>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</si>
  <si>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</si>
  <si>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</si>
  <si>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</si>
  <si>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</si>
  <si>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</si>
  <si>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</si>
  <si>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</si>
  <si>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</si>
  <si>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</si>
  <si>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</si>
  <si>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</si>
  <si>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</si>
  <si>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</si>
  <si>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</si>
  <si>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</si>
  <si>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</si>
  <si>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</si>
  <si>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</si>
  <si>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</si>
  <si>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</si>
  <si>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</si>
  <si>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</si>
  <si>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</si>
  <si>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</si>
  <si>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</si>
  <si>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</si>
  <si>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</si>
  <si>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</si>
  <si>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</si>
  <si>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</si>
  <si>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</si>
  <si>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</si>
  <si>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</si>
  <si>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</si>
  <si>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</si>
  <si>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</si>
  <si>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</si>
  <si>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</si>
  <si>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</si>
  <si>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</si>
  <si>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</si>
  <si>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</si>
  <si>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</si>
  <si>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</si>
  <si>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</si>
  <si>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</si>
  <si>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</si>
  <si>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</si>
  <si>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</si>
  <si>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</si>
  <si>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</si>
  <si>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</si>
  <si>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</si>
  <si>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</si>
  <si>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</si>
  <si>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</si>
  <si>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</si>
  <si>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</si>
  <si>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</si>
  <si>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</si>
  <si>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</si>
  <si>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</si>
  <si>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</si>
  <si>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</si>
  <si>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</si>
  <si>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</si>
  <si>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</si>
  <si>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</si>
  <si>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</si>
  <si>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</si>
  <si>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</si>
  <si>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</si>
  <si>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</si>
  <si>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</si>
  <si>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</si>
  <si>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</si>
  <si>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</si>
  <si>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</si>
  <si>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</si>
  <si>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</si>
  <si>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</si>
  <si>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</si>
  <si>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</si>
  <si>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</si>
  <si>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</si>
  <si>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</si>
  <si>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</si>
  <si>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</si>
  <si>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</si>
  <si>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</si>
  <si>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</si>
  <si>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</si>
  <si>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</si>
  <si>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</si>
  <si>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</si>
  <si>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</si>
  <si>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</si>
  <si>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</si>
  <si>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</si>
  <si>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</si>
  <si>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</si>
  <si>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</si>
  <si>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</si>
  <si>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</si>
  <si>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</si>
  <si>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</si>
  <si>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</si>
  <si>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</si>
  <si>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</si>
  <si>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</si>
  <si>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</si>
  <si>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</si>
  <si>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</si>
  <si>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</si>
  <si>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</si>
  <si>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</si>
  <si>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</si>
  <si>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</si>
  <si>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</si>
  <si>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</si>
  <si>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</si>
  <si>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</si>
  <si>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</si>
  <si>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</si>
  <si>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</si>
  <si>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</si>
  <si>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</si>
  <si>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</si>
  <si>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</si>
  <si>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</si>
  <si>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</si>
  <si>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</si>
  <si>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</si>
  <si>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</si>
  <si>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</si>
  <si>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</si>
  <si>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</si>
  <si>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</si>
  <si>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</si>
  <si>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</si>
  <si>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</si>
  <si>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</si>
  <si>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</si>
  <si>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</si>
  <si>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</si>
  <si>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</si>
  <si>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</si>
  <si>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</si>
  <si>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</si>
  <si>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</si>
  <si>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</si>
  <si>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</si>
  <si>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</si>
  <si>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</si>
  <si>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</si>
  <si>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</si>
  <si>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</si>
  <si>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</si>
  <si>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</si>
  <si>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</si>
  <si>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</si>
  <si>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</si>
  <si>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</si>
  <si>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</si>
  <si>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</si>
  <si>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</si>
  <si>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</si>
  <si>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</si>
  <si>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</si>
  <si>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</si>
  <si>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</si>
  <si>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</si>
  <si>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</si>
  <si>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</si>
  <si>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</si>
  <si>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</si>
  <si>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</si>
  <si>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</si>
  <si>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</si>
  <si>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</si>
  <si>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</si>
  <si>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</si>
  <si>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</si>
  <si>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</si>
  <si>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</si>
  <si>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</si>
  <si>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</si>
  <si>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</si>
  <si>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</si>
  <si>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</si>
  <si>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</si>
  <si>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</si>
  <si>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</si>
  <si>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</si>
  <si>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</si>
  <si>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</si>
  <si>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</si>
  <si>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</si>
  <si>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</si>
  <si>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</si>
  <si>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</si>
  <si>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</si>
  <si>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</si>
  <si>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</si>
  <si>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</si>
  <si>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</si>
  <si>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</si>
  <si>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</si>
  <si>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</si>
  <si>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</si>
  <si>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</si>
  <si>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</si>
  <si>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</si>
  <si>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</si>
  <si>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</si>
  <si>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</si>
  <si>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</si>
  <si>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</si>
  <si>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</si>
  <si>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</si>
  <si>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</si>
  <si>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</si>
  <si>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</si>
  <si>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</si>
  <si>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</si>
  <si>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</si>
  <si>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</si>
  <si>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</si>
  <si>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</si>
  <si>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</si>
  <si>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</si>
  <si>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</si>
  <si>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</si>
  <si>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</si>
  <si>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</si>
  <si>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</si>
  <si>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</si>
  <si>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</si>
  <si>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</si>
  <si>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</si>
  <si>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</si>
  <si>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</si>
  <si>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</si>
  <si>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</si>
  <si>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</si>
  <si>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</si>
  <si>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</si>
  <si>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</si>
  <si>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</si>
  <si>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</si>
  <si>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</si>
  <si>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</si>
  <si>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</si>
  <si>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</si>
  <si>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</si>
  <si>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</si>
  <si>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</si>
  <si>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</si>
  <si>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</si>
  <si>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</si>
  <si>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</si>
  <si>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</si>
  <si>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</si>
  <si>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</si>
  <si>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</si>
  <si>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</si>
  <si>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</si>
  <si>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</si>
  <si>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</si>
  <si>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</si>
  <si>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</si>
  <si>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</si>
  <si>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</si>
  <si>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</si>
  <si>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</si>
  <si>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</si>
  <si>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</si>
  <si>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</si>
  <si>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</si>
  <si>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</si>
  <si>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</si>
  <si>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</si>
  <si>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</si>
  <si>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</si>
  <si>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</si>
  <si>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</si>
  <si>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</si>
  <si>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</si>
  <si>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</si>
  <si>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</si>
  <si>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</si>
  <si>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</si>
  <si>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</si>
  <si>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</si>
  <si>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</si>
  <si>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</si>
  <si>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</si>
  <si>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</si>
  <si>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</si>
  <si>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</si>
  <si>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</si>
  <si>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</si>
  <si>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</si>
  <si>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</si>
  <si>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</si>
  <si>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</si>
  <si>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</si>
  <si>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</si>
  <si>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</si>
  <si>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</si>
  <si>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</si>
  <si>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</si>
  <si>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</si>
  <si>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</si>
  <si>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</si>
  <si>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</si>
  <si>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</si>
  <si>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</si>
  <si>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</si>
  <si>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</si>
  <si>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</si>
  <si>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</si>
  <si>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</si>
  <si>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</si>
  <si>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</si>
  <si>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</si>
  <si>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</si>
  <si>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</si>
  <si>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</si>
  <si>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</si>
  <si>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</si>
  <si>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</si>
  <si>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</si>
  <si>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</si>
  <si>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</si>
  <si>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</si>
  <si>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</si>
  <si>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</si>
  <si>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</si>
  <si>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</si>
  <si>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</si>
  <si>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</si>
  <si>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</si>
  <si>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</si>
  <si>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</si>
  <si>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</si>
  <si>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</si>
  <si>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</si>
  <si>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</si>
  <si>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</si>
  <si>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</si>
  <si>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</si>
  <si>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</si>
  <si>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</si>
  <si>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</si>
  <si>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</si>
  <si>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</si>
  <si>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</si>
  <si>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</si>
  <si>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</si>
  <si>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</si>
  <si>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</si>
  <si>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</si>
  <si>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</si>
  <si>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</si>
  <si>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</si>
  <si>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</si>
  <si>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</si>
  <si>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</si>
  <si>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</si>
  <si>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</si>
  <si>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</si>
  <si>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</si>
  <si>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</si>
  <si>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</si>
  <si>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</si>
  <si>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</si>
  <si>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</si>
  <si>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</si>
  <si>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</si>
  <si>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</si>
  <si>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</si>
  <si>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</si>
  <si>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</si>
  <si>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</si>
  <si>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</si>
  <si>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</si>
  <si>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</si>
  <si>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</si>
  <si>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</si>
  <si>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</si>
  <si>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</si>
  <si>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</si>
  <si>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</si>
  <si>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</si>
  <si>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</si>
  <si>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</si>
  <si>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</si>
  <si>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</si>
  <si>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</si>
  <si>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</si>
  <si>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</si>
  <si>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</si>
  <si>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</si>
  <si>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</si>
  <si>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</si>
  <si>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</si>
  <si>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</si>
  <si>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</si>
  <si>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</si>
  <si>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</si>
  <si>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</si>
  <si>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</si>
  <si>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</si>
  <si>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</si>
  <si>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</si>
  <si>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</si>
  <si>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</si>
  <si>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</si>
  <si>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</si>
  <si>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</si>
  <si>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</si>
  <si>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</si>
  <si>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</si>
  <si>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</si>
  <si>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</si>
  <si>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</si>
  <si>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</si>
  <si>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</si>
  <si>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</si>
  <si>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</si>
  <si>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</si>
  <si>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</si>
  <si>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</si>
  <si>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</si>
  <si>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</si>
  <si>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</si>
  <si>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</si>
  <si>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</si>
  <si>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</si>
  <si>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</si>
  <si>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</si>
  <si>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</si>
  <si>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</si>
  <si>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</si>
  <si>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</si>
  <si>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</si>
  <si>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</si>
  <si>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</si>
  <si>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</si>
  <si>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</si>
  <si>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</si>
  <si>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</si>
  <si>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</si>
  <si>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</si>
  <si>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</si>
  <si>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</si>
  <si>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</si>
  <si>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</si>
  <si>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</si>
  <si>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</si>
  <si>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</si>
  <si>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</si>
  <si>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</si>
  <si>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</si>
  <si>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</si>
  <si>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</si>
  <si>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</si>
  <si>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</si>
  <si>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</si>
  <si>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</si>
  <si>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</si>
  <si>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</si>
  <si>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</si>
  <si>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</si>
  <si>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</si>
  <si>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</si>
  <si>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</si>
  <si>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</si>
  <si>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</si>
  <si>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</si>
  <si>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</si>
  <si>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</si>
  <si>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</si>
  <si>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</si>
  <si>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</si>
  <si>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</si>
  <si>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</si>
  <si>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</si>
  <si>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</si>
  <si>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</si>
  <si>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</si>
  <si>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</si>
  <si>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</si>
  <si>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</si>
  <si>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</si>
  <si>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</si>
  <si>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</si>
  <si>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</si>
  <si>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</si>
  <si>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</si>
  <si>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</si>
  <si>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</si>
  <si>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</si>
  <si>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</si>
  <si>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</si>
  <si>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</si>
  <si>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</si>
  <si>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</si>
  <si>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</si>
  <si>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</si>
  <si>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</si>
  <si>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</si>
  <si>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</si>
  <si>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</si>
  <si>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</si>
  <si>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</si>
  <si>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</si>
  <si>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</si>
  <si>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</si>
  <si>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</si>
  <si>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</si>
  <si>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</si>
  <si>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</si>
  <si>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</si>
  <si>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</si>
  <si>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</si>
  <si>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</si>
  <si>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</si>
  <si>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</si>
  <si>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</si>
  <si>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</si>
  <si>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</si>
  <si>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</si>
  <si>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</si>
  <si>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</si>
  <si>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</si>
  <si>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</si>
  <si>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</si>
  <si>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</si>
  <si>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</si>
  <si>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</si>
  <si>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</si>
  <si>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</si>
  <si>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</si>
  <si>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</si>
  <si>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</si>
  <si>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</si>
  <si>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</si>
  <si>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</si>
  <si>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</si>
  <si>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</si>
  <si>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</si>
  <si>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</si>
  <si>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</si>
  <si>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</si>
  <si>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</si>
  <si>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</si>
  <si>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</si>
  <si>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</si>
  <si>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</si>
  <si>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</si>
  <si>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</si>
  <si>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</si>
  <si>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</si>
  <si>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</si>
  <si>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</si>
  <si>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</si>
  <si>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</si>
  <si>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</si>
  <si>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</si>
  <si>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</si>
  <si>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</si>
  <si>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</si>
  <si>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</si>
  <si>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</si>
  <si>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</si>
  <si>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</si>
  <si>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</si>
  <si>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</si>
  <si>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</si>
  <si>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</si>
  <si>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</si>
  <si>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</si>
  <si>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</si>
  <si>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</si>
  <si>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</si>
  <si>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</si>
  <si>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</si>
  <si>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</si>
  <si>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</si>
  <si>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</si>
  <si>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</si>
  <si>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</si>
  <si>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</si>
  <si>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</si>
  <si>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</si>
  <si>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</si>
  <si>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</si>
  <si>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</si>
  <si>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</si>
  <si>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</si>
  <si>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</si>
  <si>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</si>
  <si>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</si>
  <si>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</si>
  <si>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</si>
  <si>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</si>
  <si>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</si>
  <si>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</si>
  <si>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</si>
  <si>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</si>
  <si>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</si>
  <si>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</si>
  <si>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</si>
  <si>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</si>
  <si>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</si>
  <si>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</si>
  <si>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</si>
  <si>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</si>
  <si>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</si>
  <si>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Sum of Employee Count</t>
  </si>
  <si>
    <t>Row Labels</t>
  </si>
  <si>
    <t>Grand Total</t>
  </si>
  <si>
    <t>Count of Employee Count</t>
  </si>
  <si>
    <t>Count of Attrition</t>
  </si>
  <si>
    <t>Sum of CF_attrition count</t>
  </si>
  <si>
    <t>Average of Age</t>
  </si>
  <si>
    <t>Employee count</t>
  </si>
  <si>
    <t>Attrition count</t>
  </si>
  <si>
    <t>Average age</t>
  </si>
  <si>
    <t>Active employees</t>
  </si>
  <si>
    <t>Attrition rate</t>
  </si>
  <si>
    <t>Average of Job Satisfaction</t>
  </si>
  <si>
    <t>Total job satisfaction</t>
  </si>
  <si>
    <t>Remaining</t>
  </si>
  <si>
    <t>ratio</t>
  </si>
  <si>
    <t>job role</t>
  </si>
  <si>
    <t>attrition</t>
  </si>
  <si>
    <t>Details for Sum of CF_attrition count - Department: HR</t>
  </si>
  <si>
    <t>Details for Count of Attrition - Education: Associates Degree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</si>
</sst>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2"/>
      <color theme="1"/>
      <name val="Calibri"/>
      <scheme val="minor"/>
    </font>
    <font>
      <sz val="12"/>
      <color theme="1"/>
      <name val="Calibri"/>
      <scheme val="minor"/>
    </font>
    <font>
      <b/>
      <sz val="12"/>
      <color theme="1"/>
      <name val="Calibri"/>
      <scheme val="minor"/>
    </font>
  </fonts>
  <fills count="2">
    <fill>
      <patternFill patternType="none"/>
    </fill>
    <fill>
      <patternFill patternType="gray125"/>
    </fill>
  </fills>
  <borders count="11">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indexed="65"/>
      </top>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s>
  <cellStyleXfs count="2">
    <xf numFmtId="0" fontId="0" fillId="0" borderId="0"/>
    <xf numFmtId="9" fontId="1" fillId="0" borderId="0" applyFont="0" applyFill="0" applyBorder="0" applyAlignment="0" applyProtection="0"/>
  </cellStyleXfs>
  <cellXfs count="22">
    <xf numFmtId="0" fontId="0" fillId="0" borderId="0" xfId="0"/>
    <xf numFmtId="0" fontId="1" fillId="0" borderId="0" xfId="0" applyFont="1"/>
    <xf numFmtId="0" fontId="0" fillId="0" borderId="1" xfId="0" applyBorder="1"/>
    <xf numFmtId="0" fontId="0" fillId="0" borderId="3" xfId="0" applyBorder="1"/>
    <xf numFmtId="0" fontId="0" fillId="0" borderId="1" xfId="0" pivotButton="1" applyBorder="1"/>
    <xf numFmtId="0" fontId="0" fillId="0" borderId="1" xfId="0" applyBorder="1" applyAlignment="1">
      <alignment horizontal="left"/>
    </xf>
    <xf numFmtId="0" fontId="0" fillId="0" borderId="2" xfId="0" applyBorder="1" applyAlignment="1">
      <alignment horizontal="left"/>
    </xf>
    <xf numFmtId="0" fontId="0" fillId="0" borderId="6" xfId="0" applyBorder="1" applyAlignment="1">
      <alignment horizontal="left"/>
    </xf>
    <xf numFmtId="0" fontId="0" fillId="0" borderId="7" xfId="0" applyBorder="1"/>
    <xf numFmtId="0" fontId="0" fillId="0" borderId="9" xfId="0" applyBorder="1"/>
    <xf numFmtId="1" fontId="0" fillId="0" borderId="8" xfId="0" applyNumberFormat="1" applyBorder="1"/>
    <xf numFmtId="1" fontId="0" fillId="0" borderId="0" xfId="0" applyNumberFormat="1"/>
    <xf numFmtId="9" fontId="0" fillId="0" borderId="0" xfId="1" applyFont="1"/>
    <xf numFmtId="10" fontId="0" fillId="0" borderId="0" xfId="1" applyNumberFormat="1" applyFont="1"/>
    <xf numFmtId="0" fontId="0" fillId="0" borderId="0" xfId="0" applyAlignment="1">
      <alignment horizontal="left"/>
    </xf>
    <xf numFmtId="0" fontId="2" fillId="0" borderId="0" xfId="0" applyFont="1"/>
    <xf numFmtId="10" fontId="0" fillId="0" borderId="3" xfId="0" applyNumberFormat="1" applyBorder="1"/>
    <xf numFmtId="10" fontId="0" fillId="0" borderId="4" xfId="0" applyNumberFormat="1" applyBorder="1"/>
    <xf numFmtId="0" fontId="0" fillId="0" borderId="5" xfId="0" applyBorder="1"/>
    <xf numFmtId="0" fontId="0" fillId="0" borderId="4" xfId="0" applyBorder="1"/>
    <xf numFmtId="0" fontId="0" fillId="0" borderId="6" xfId="0" applyBorder="1"/>
    <xf numFmtId="0" fontId="0" fillId="0" borderId="10" xfId="0" applyBorder="1"/>
  </cellXfs>
  <cellStyles count="2">
    <cellStyle name="Normal" xfId="0" builtinId="0"/>
    <cellStyle name="Percent" xfId="1" builtinId="5"/>
  </cellStyles>
  <dxfs count="8">
    <dxf>
      <numFmt numFmtId="1" formatCode="0"/>
    </dxf>
    <dxf>
      <font>
        <b/>
        <i val="0"/>
        <name val="Calibri"/>
        <family val="2"/>
        <scheme val="major"/>
      </font>
    </dxf>
    <dxf>
      <fill>
        <gradientFill>
          <stop position="0">
            <color theme="7" tint="-0.25098422193060094"/>
          </stop>
          <stop position="1">
            <color theme="7" tint="0.40000610370189521"/>
          </stop>
        </gradientFill>
      </fill>
    </dxf>
    <dxf>
      <fill>
        <patternFill>
          <bgColor rgb="FF00B050"/>
        </patternFill>
      </fill>
    </dxf>
    <dxf>
      <fill>
        <patternFill patternType="none">
          <fgColor indexed="64"/>
          <bgColor auto="1"/>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5">
    <tableStyle name="Data-style" pivot="0" count="3" xr9:uid="{00000000-0011-0000-FFFF-FFFF00000000}">
      <tableStyleElement type="headerRow" dxfId="7"/>
      <tableStyleElement type="firstRowStripe" dxfId="6"/>
      <tableStyleElement type="secondRowStripe" dxfId="5"/>
    </tableStyle>
    <tableStyle name="Slicer Style 1" pivot="0" table="0" count="1" xr9:uid="{5B051F8E-D31E-4ABC-B59A-45F4DFEC6BA0}">
      <tableStyleElement type="wholeTable" dxfId="4"/>
    </tableStyle>
    <tableStyle name="Slicer Style 2" pivot="0" table="0" count="1" xr9:uid="{408E78FC-B5A9-435E-AD82-DB2295C188A9}">
      <tableStyleElement type="wholeTable" dxfId="3"/>
    </tableStyle>
    <tableStyle name="Slicer Style 3" pivot="0" table="0" count="2" xr9:uid="{005F5754-0F9E-45AE-BB7C-613C5830C1F3}">
      <tableStyleElement type="wholeTable" dxfId="2"/>
    </tableStyle>
    <tableStyle name="Slicer Style 4" pivot="0" table="0" count="1" xr9:uid="{42EA52E6-EABD-44F8-BD77-B3E96C6B0236}">
      <tableStyleElement type="wholeTable" dxfId="1"/>
    </tableStyle>
  </tableStyles>
  <colors>
    <mruColors>
      <color rgb="FF360E9A"/>
      <color rgb="FF008080"/>
      <color rgb="FF990099"/>
      <color rgb="FF3366FF"/>
      <color rgb="FF89C13F"/>
    </mruColors>
  </colors>
  <extLst>
    <ext xmlns:x14="http://schemas.microsoft.com/office/spreadsheetml/2009/9/main" uri="{46F421CA-312F-682f-3DD2-61675219B42D}">
      <x14:dxfs count="1">
        <dxf>
          <font>
            <b/>
            <i val="0"/>
            <name val="Calibri"/>
            <family val="2"/>
            <scheme val="minor"/>
          </font>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selectedItemWithData" dxfId="0"/>
          </x14:slicerStyleElements>
        </x14:slicerStyle>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4.xml"/><Relationship Id="rId26"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5"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customschemas.google.com/relationships/workbookmetadata" Target="metadata"/><Relationship Id="rId5" Type="http://schemas.openxmlformats.org/officeDocument/2006/relationships/worksheet" Target="worksheets/sheet5.xml"/><Relationship Id="rId15" Type="http://schemas.microsoft.com/office/2007/relationships/slicerCache" Target="slicerCaches/slicerCache1.xml"/><Relationship Id="rId28"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manualLayout>
          <c:layoutTarget val="inner"/>
          <c:xMode val="edge"/>
          <c:yMode val="edge"/>
          <c:x val="0.10686494917916686"/>
          <c:y val="3.6934413027038163E-2"/>
          <c:w val="0.81636480011071322"/>
          <c:h val="0.86951742786445774"/>
        </c:manualLayout>
      </c:layout>
      <c:doughnutChart>
        <c:varyColors val="1"/>
        <c:ser>
          <c:idx val="0"/>
          <c:order val="0"/>
          <c:dPt>
            <c:idx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1-7439-4B3A-AB6E-949DC0C5D3E2}"/>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3-7439-4B3A-AB6E-949DC0C5D3E2}"/>
              </c:ext>
            </c:extLst>
          </c:dPt>
          <c:val>
            <c:numRef>
              <c:f>Sheet2!$B$6:$B$7</c:f>
              <c:numCache>
                <c:formatCode>General</c:formatCode>
                <c:ptCount val="2"/>
                <c:pt idx="0">
                  <c:v>2.3696498054474708</c:v>
                </c:pt>
                <c:pt idx="1">
                  <c:v>1.6303501945525292</c:v>
                </c:pt>
              </c:numCache>
            </c:numRef>
          </c:val>
          <c:extLst>
            <c:ext xmlns:c16="http://schemas.microsoft.com/office/drawing/2014/chart" uri="{C3380CC4-5D6E-409C-BE32-E72D297353CC}">
              <c16:uniqueId val="{00000004-7439-4B3A-AB6E-949DC0C5D3E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accent2">
          <a:lumMod val="60000"/>
          <a:lumOff val="40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dPt>
            <c:idx val="0"/>
            <c:invertIfNegative val="0"/>
            <c:bubble3D val="0"/>
            <c:spPr>
              <a:solidFill>
                <a:schemeClr val="accent2">
                  <a:lumMod val="50000"/>
                </a:schemeClr>
              </a:solidFill>
              <a:ln>
                <a:noFill/>
              </a:ln>
              <a:effectLst/>
            </c:spPr>
            <c:extLst>
              <c:ext xmlns:c16="http://schemas.microsoft.com/office/drawing/2014/chart" uri="{C3380CC4-5D6E-409C-BE32-E72D297353CC}">
                <c16:uniqueId val="{00000002-FA13-47E5-9E1C-7544D129C20E}"/>
              </c:ext>
            </c:extLst>
          </c:dPt>
          <c:val>
            <c:numRef>
              <c:f>Sheet2!$B$6</c:f>
              <c:numCache>
                <c:formatCode>General</c:formatCode>
                <c:ptCount val="1"/>
                <c:pt idx="0">
                  <c:v>2.3696498054474708</c:v>
                </c:pt>
              </c:numCache>
            </c:numRef>
          </c:val>
          <c:extLst>
            <c:ext xmlns:c16="http://schemas.microsoft.com/office/drawing/2014/chart" uri="{C3380CC4-5D6E-409C-BE32-E72D297353CC}">
              <c16:uniqueId val="{00000000-FA13-47E5-9E1C-7544D129C20E}"/>
            </c:ext>
          </c:extLst>
        </c:ser>
        <c:ser>
          <c:idx val="1"/>
          <c:order val="1"/>
          <c:spPr>
            <a:noFill/>
            <a:ln>
              <a:noFill/>
            </a:ln>
            <a:effectLst/>
          </c:spPr>
          <c:invertIfNegative val="0"/>
          <c:val>
            <c:numRef>
              <c:f>Sheet2!$B$7</c:f>
              <c:numCache>
                <c:formatCode>General</c:formatCode>
                <c:ptCount val="1"/>
                <c:pt idx="0">
                  <c:v>1.6303501945525292</c:v>
                </c:pt>
              </c:numCache>
            </c:numRef>
          </c:val>
          <c:extLst>
            <c:ext xmlns:c16="http://schemas.microsoft.com/office/drawing/2014/chart" uri="{C3380CC4-5D6E-409C-BE32-E72D297353CC}">
              <c16:uniqueId val="{00000001-FA13-47E5-9E1C-7544D129C20E}"/>
            </c:ext>
          </c:extLst>
        </c:ser>
        <c:dLbls>
          <c:showLegendKey val="0"/>
          <c:showVal val="0"/>
          <c:showCatName val="0"/>
          <c:showSerName val="0"/>
          <c:showPercent val="0"/>
          <c:showBubbleSize val="0"/>
        </c:dLbls>
        <c:gapWidth val="0"/>
        <c:overlap val="100"/>
        <c:axId val="1550546448"/>
        <c:axId val="1550558448"/>
      </c:barChart>
      <c:catAx>
        <c:axId val="1550546448"/>
        <c:scaling>
          <c:orientation val="minMax"/>
        </c:scaling>
        <c:delete val="1"/>
        <c:axPos val="l"/>
        <c:majorTickMark val="out"/>
        <c:minorTickMark val="none"/>
        <c:tickLblPos val="nextTo"/>
        <c:crossAx val="1550558448"/>
        <c:crosses val="autoZero"/>
        <c:auto val="1"/>
        <c:lblAlgn val="ctr"/>
        <c:lblOffset val="100"/>
        <c:noMultiLvlLbl val="0"/>
      </c:catAx>
      <c:valAx>
        <c:axId val="1550558448"/>
        <c:scaling>
          <c:orientation val="minMax"/>
          <c:max val="4"/>
        </c:scaling>
        <c:delete val="1"/>
        <c:axPos val="b"/>
        <c:numFmt formatCode="General" sourceLinked="1"/>
        <c:majorTickMark val="out"/>
        <c:minorTickMark val="none"/>
        <c:tickLblPos val="nextTo"/>
        <c:crossAx val="155054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876640419947507"/>
          <c:y val="2.3509754579646616E-2"/>
          <c:w val="0.77120524934383206"/>
          <c:h val="0.97649024542035334"/>
        </c:manualLayout>
      </c:layout>
      <c:doughnutChart>
        <c:varyColors val="1"/>
        <c:ser>
          <c:idx val="0"/>
          <c:order val="0"/>
          <c:spPr>
            <a:solidFill>
              <a:schemeClr val="bg1"/>
            </a:solidFill>
            <a:ln>
              <a:noFill/>
            </a:ln>
          </c:spPr>
          <c:dPt>
            <c:idx val="0"/>
            <c:bubble3D val="0"/>
            <c:spPr>
              <a:solidFill>
                <a:schemeClr val="accent6">
                  <a:lumMod val="50000"/>
                  <a:alpha val="85000"/>
                </a:schemeClr>
              </a:solidFill>
              <a:ln w="19050">
                <a:noFill/>
              </a:ln>
              <a:effectLst/>
            </c:spPr>
            <c:extLst>
              <c:ext xmlns:c16="http://schemas.microsoft.com/office/drawing/2014/chart" uri="{C3380CC4-5D6E-409C-BE32-E72D297353CC}">
                <c16:uniqueId val="{00000001-AB55-469F-888B-FA0025BCEB99}"/>
              </c:ext>
            </c:extLst>
          </c:dPt>
          <c:dPt>
            <c:idx val="1"/>
            <c:bubble3D val="0"/>
            <c:spPr>
              <a:solidFill>
                <a:schemeClr val="accent2">
                  <a:lumMod val="40000"/>
                  <a:lumOff val="60000"/>
                </a:schemeClr>
              </a:solidFill>
              <a:ln w="19050">
                <a:noFill/>
              </a:ln>
              <a:effectLst/>
            </c:spPr>
            <c:extLst>
              <c:ext xmlns:c16="http://schemas.microsoft.com/office/drawing/2014/chart" uri="{C3380CC4-5D6E-409C-BE32-E72D297353CC}">
                <c16:uniqueId val="{00000003-AB55-469F-888B-FA0025BCEB99}"/>
              </c:ext>
            </c:extLst>
          </c:dPt>
          <c:val>
            <c:numRef>
              <c:f>Sheet3!$C$9:$C$10</c:f>
              <c:numCache>
                <c:formatCode>0%</c:formatCode>
                <c:ptCount val="2"/>
                <c:pt idx="0">
                  <c:v>0</c:v>
                </c:pt>
                <c:pt idx="1">
                  <c:v>1</c:v>
                </c:pt>
              </c:numCache>
            </c:numRef>
          </c:val>
          <c:extLst>
            <c:ext xmlns:c16="http://schemas.microsoft.com/office/drawing/2014/chart" uri="{C3380CC4-5D6E-409C-BE32-E72D297353CC}">
              <c16:uniqueId val="{00000004-AB55-469F-888B-FA0025BCEB99}"/>
            </c:ext>
          </c:extLst>
        </c:ser>
        <c:dLbls>
          <c:showLegendKey val="0"/>
          <c:showVal val="0"/>
          <c:showCatName val="0"/>
          <c:showSerName val="0"/>
          <c:showPercent val="0"/>
          <c:showBubbleSize val="0"/>
          <c:showLeaderLines val="1"/>
        </c:dLbls>
        <c:firstSliceAng val="0"/>
        <c:holeSize val="71"/>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3125378558449436E-2"/>
          <c:y val="3.7361055674492299E-2"/>
          <c:w val="0.84942963860286691"/>
          <c:h val="0.96263894432550767"/>
        </c:manualLayout>
      </c:layout>
      <c:doughnutChart>
        <c:varyColors val="1"/>
        <c:ser>
          <c:idx val="0"/>
          <c:order val="0"/>
          <c:spPr>
            <a:ln>
              <a:noFill/>
            </a:ln>
          </c:spPr>
          <c:dPt>
            <c:idx val="0"/>
            <c:bubble3D val="0"/>
            <c:spPr>
              <a:solidFill>
                <a:schemeClr val="accent2">
                  <a:lumMod val="40000"/>
                  <a:lumOff val="60000"/>
                </a:schemeClr>
              </a:solidFill>
              <a:ln w="19050">
                <a:noFill/>
              </a:ln>
              <a:effectLst/>
            </c:spPr>
            <c:extLst>
              <c:ext xmlns:c16="http://schemas.microsoft.com/office/drawing/2014/chart" uri="{C3380CC4-5D6E-409C-BE32-E72D297353CC}">
                <c16:uniqueId val="{00000001-A6B9-4552-9382-0EF50D5C5F38}"/>
              </c:ext>
            </c:extLst>
          </c:dPt>
          <c:dPt>
            <c:idx val="1"/>
            <c:bubble3D val="0"/>
            <c:spPr>
              <a:solidFill>
                <a:schemeClr val="accent5">
                  <a:lumMod val="50000"/>
                  <a:alpha val="84000"/>
                </a:schemeClr>
              </a:solidFill>
              <a:ln w="19050">
                <a:noFill/>
              </a:ln>
              <a:effectLst/>
            </c:spPr>
            <c:extLst>
              <c:ext xmlns:c16="http://schemas.microsoft.com/office/drawing/2014/chart" uri="{C3380CC4-5D6E-409C-BE32-E72D297353CC}">
                <c16:uniqueId val="{00000003-A6B9-4552-9382-0EF50D5C5F38}"/>
              </c:ext>
            </c:extLst>
          </c:dPt>
          <c:val>
            <c:numRef>
              <c:f>Sheet3!$C$9:$C$10</c:f>
              <c:numCache>
                <c:formatCode>0%</c:formatCode>
                <c:ptCount val="2"/>
                <c:pt idx="0">
                  <c:v>0</c:v>
                </c:pt>
                <c:pt idx="1">
                  <c:v>1</c:v>
                </c:pt>
              </c:numCache>
            </c:numRef>
          </c:val>
          <c:extLst>
            <c:ext xmlns:c16="http://schemas.microsoft.com/office/drawing/2014/chart" uri="{C3380CC4-5D6E-409C-BE32-E72D297353CC}">
              <c16:uniqueId val="{00000004-A6B9-4552-9382-0EF50D5C5F38}"/>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DATA_Excel.xlsx]Sheet11!education</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Sheet11!$B$3</c:f>
              <c:strCache>
                <c:ptCount val="1"/>
                <c:pt idx="0">
                  <c:v>Total</c:v>
                </c:pt>
              </c:strCache>
            </c:strRef>
          </c:tx>
          <c:spPr>
            <a:gradFill>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Sheet11!$A$4:$A$9</c:f>
              <c:strCache>
                <c:ptCount val="5"/>
                <c:pt idx="0">
                  <c:v>Doctoral Degree</c:v>
                </c:pt>
                <c:pt idx="1">
                  <c:v>High School</c:v>
                </c:pt>
                <c:pt idx="2">
                  <c:v>Associates Degree</c:v>
                </c:pt>
                <c:pt idx="3">
                  <c:v>Master's Degree</c:v>
                </c:pt>
                <c:pt idx="4">
                  <c:v>Bachelor's Degree</c:v>
                </c:pt>
              </c:strCache>
            </c:strRef>
          </c:cat>
          <c:val>
            <c:numRef>
              <c:f>Sheet11!$B$4:$B$9</c:f>
              <c:numCache>
                <c:formatCode>General</c:formatCode>
                <c:ptCount val="5"/>
                <c:pt idx="0">
                  <c:v>15</c:v>
                </c:pt>
                <c:pt idx="1">
                  <c:v>50</c:v>
                </c:pt>
                <c:pt idx="2">
                  <c:v>87</c:v>
                </c:pt>
                <c:pt idx="3">
                  <c:v>128</c:v>
                </c:pt>
                <c:pt idx="4">
                  <c:v>166</c:v>
                </c:pt>
              </c:numCache>
            </c:numRef>
          </c:val>
          <c:extLst>
            <c:ext xmlns:c16="http://schemas.microsoft.com/office/drawing/2014/chart" uri="{C3380CC4-5D6E-409C-BE32-E72D297353CC}">
              <c16:uniqueId val="{00000000-3773-492A-BECE-6B3C771DA7C3}"/>
            </c:ext>
          </c:extLst>
        </c:ser>
        <c:dLbls>
          <c:dLblPos val="outEnd"/>
          <c:showLegendKey val="0"/>
          <c:showVal val="1"/>
          <c:showCatName val="0"/>
          <c:showSerName val="0"/>
          <c:showPercent val="0"/>
          <c:showBubbleSize val="0"/>
        </c:dLbls>
        <c:gapWidth val="83"/>
        <c:overlap val="15"/>
        <c:axId val="457363807"/>
        <c:axId val="457360447"/>
      </c:barChart>
      <c:catAx>
        <c:axId val="457363807"/>
        <c:scaling>
          <c:orientation val="minMax"/>
        </c:scaling>
        <c:delete val="0"/>
        <c:axPos val="l"/>
        <c:numFmt formatCode="General" sourceLinked="1"/>
        <c:majorTickMark val="none"/>
        <c:minorTickMark val="none"/>
        <c:tickLblPos val="low"/>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360447"/>
        <c:crosses val="autoZero"/>
        <c:auto val="1"/>
        <c:lblAlgn val="ctr"/>
        <c:lblOffset val="100"/>
        <c:noMultiLvlLbl val="0"/>
      </c:catAx>
      <c:valAx>
        <c:axId val="4573604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363807"/>
        <c:crosses val="autoZero"/>
        <c:crossBetween val="between"/>
      </c:valAx>
      <c:spPr>
        <a:noFill/>
        <a:ln>
          <a:solidFill>
            <a:schemeClr val="tx2">
              <a:lumMod val="95000"/>
              <a:lumOff val="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DATA_Excel.xlsx]Sheet8!attrition by age group</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82635464959403"/>
          <c:y val="2.6805854978230209E-2"/>
          <c:w val="0.86317364535040597"/>
          <c:h val="0.83309776614672804"/>
        </c:manualLayout>
      </c:layout>
      <c:barChart>
        <c:barDir val="col"/>
        <c:grouping val="clustered"/>
        <c:varyColors val="0"/>
        <c:ser>
          <c:idx val="0"/>
          <c:order val="0"/>
          <c:tx>
            <c:strRef>
              <c:f>Sheet8!$B$3</c:f>
              <c:strCache>
                <c:ptCount val="1"/>
                <c:pt idx="0">
                  <c:v>Total</c:v>
                </c:pt>
              </c:strCache>
            </c:strRef>
          </c:tx>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noFill/>
            </a:ln>
            <a:effectLst/>
          </c:spPr>
          <c:invertIfNegative val="0"/>
          <c:cat>
            <c:strRef>
              <c:f>Sheet8!$A$4:$A$9</c:f>
              <c:strCache>
                <c:ptCount val="5"/>
                <c:pt idx="0">
                  <c:v>Over 55</c:v>
                </c:pt>
                <c:pt idx="1">
                  <c:v>Under 25</c:v>
                </c:pt>
                <c:pt idx="2">
                  <c:v>45 - 54</c:v>
                </c:pt>
                <c:pt idx="3">
                  <c:v>35 - 44</c:v>
                </c:pt>
                <c:pt idx="4">
                  <c:v>25 - 34</c:v>
                </c:pt>
              </c:strCache>
            </c:strRef>
          </c:cat>
          <c:val>
            <c:numRef>
              <c:f>Sheet8!$B$4:$B$9</c:f>
              <c:numCache>
                <c:formatCode>General</c:formatCode>
                <c:ptCount val="5"/>
                <c:pt idx="0">
                  <c:v>2</c:v>
                </c:pt>
                <c:pt idx="1">
                  <c:v>14</c:v>
                </c:pt>
                <c:pt idx="2">
                  <c:v>17</c:v>
                </c:pt>
                <c:pt idx="3">
                  <c:v>20</c:v>
                </c:pt>
                <c:pt idx="4">
                  <c:v>39</c:v>
                </c:pt>
              </c:numCache>
            </c:numRef>
          </c:val>
          <c:extLst>
            <c:ext xmlns:c16="http://schemas.microsoft.com/office/drawing/2014/chart" uri="{C3380CC4-5D6E-409C-BE32-E72D297353CC}">
              <c16:uniqueId val="{00000000-D573-43AC-84AE-80E5477E2785}"/>
            </c:ext>
          </c:extLst>
        </c:ser>
        <c:dLbls>
          <c:showLegendKey val="0"/>
          <c:showVal val="0"/>
          <c:showCatName val="0"/>
          <c:showSerName val="0"/>
          <c:showPercent val="0"/>
          <c:showBubbleSize val="0"/>
        </c:dLbls>
        <c:gapWidth val="219"/>
        <c:overlap val="-27"/>
        <c:axId val="1550523888"/>
        <c:axId val="1550527248"/>
      </c:barChart>
      <c:catAx>
        <c:axId val="1550523888"/>
        <c:scaling>
          <c:orientation val="minMax"/>
        </c:scaling>
        <c:delete val="0"/>
        <c:axPos val="b"/>
        <c:numFmt formatCode="General" sourceLinked="1"/>
        <c:majorTickMark val="none"/>
        <c:minorTickMark val="none"/>
        <c:tickLblPos val="nextTo"/>
        <c:spPr>
          <a:noFill/>
          <a:ln w="9525" cap="flat" cmpd="sng" algn="ctr">
            <a:solidFill>
              <a:schemeClr val="accent1">
                <a:shade val="1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50527248"/>
        <c:crosses val="autoZero"/>
        <c:auto val="1"/>
        <c:lblAlgn val="ctr"/>
        <c:lblOffset val="100"/>
        <c:noMultiLvlLbl val="0"/>
      </c:catAx>
      <c:valAx>
        <c:axId val="15505272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50523888"/>
        <c:crosses val="autoZero"/>
        <c:crossBetween val="between"/>
      </c:valAx>
      <c:spPr>
        <a:noFill/>
        <a:ln>
          <a:solidFill>
            <a:schemeClr val="tx1">
              <a:lumMod val="95000"/>
              <a:lumOff val="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DATA_Excel.xlsx]Sheet5!department wise attrition</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noFill/>
          </a:ln>
          <a:effectLst/>
        </c:spPr>
      </c:pivotFmt>
      <c:pivotFmt>
        <c:idx val="10"/>
        <c:spPr>
          <a:solidFill>
            <a:schemeClr val="accent1"/>
          </a:solidFill>
          <a:ln w="19050">
            <a:noFill/>
          </a:ln>
          <a:effectLst/>
        </c:spPr>
      </c:pivotFmt>
      <c:pivotFmt>
        <c:idx val="11"/>
        <c:spPr>
          <a:solidFill>
            <a:schemeClr val="accent1"/>
          </a:solidFill>
          <a:ln w="19050">
            <a:noFill/>
          </a:ln>
          <a:effectLst/>
        </c:spPr>
      </c:pivotFmt>
    </c:pivotFmts>
    <c:plotArea>
      <c:layout/>
      <c:pieChart>
        <c:varyColors val="1"/>
        <c:ser>
          <c:idx val="0"/>
          <c:order val="0"/>
          <c:tx>
            <c:strRef>
              <c:f>Sheet5!$B$3</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084B-4E82-85A7-AA1A2A846DA7}"/>
              </c:ext>
            </c:extLst>
          </c:dPt>
          <c:dPt>
            <c:idx val="1"/>
            <c:bubble3D val="0"/>
            <c:spPr>
              <a:solidFill>
                <a:schemeClr val="accent2"/>
              </a:solidFill>
              <a:ln w="19050">
                <a:noFill/>
              </a:ln>
              <a:effectLst/>
            </c:spPr>
            <c:extLst>
              <c:ext xmlns:c16="http://schemas.microsoft.com/office/drawing/2014/chart" uri="{C3380CC4-5D6E-409C-BE32-E72D297353CC}">
                <c16:uniqueId val="{00000003-084B-4E82-85A7-AA1A2A846DA7}"/>
              </c:ext>
            </c:extLst>
          </c:dPt>
          <c:dPt>
            <c:idx val="2"/>
            <c:bubble3D val="0"/>
            <c:spPr>
              <a:solidFill>
                <a:schemeClr val="accent3"/>
              </a:solidFill>
              <a:ln w="19050">
                <a:noFill/>
              </a:ln>
              <a:effectLst/>
            </c:spPr>
            <c:extLst>
              <c:ext xmlns:c16="http://schemas.microsoft.com/office/drawing/2014/chart" uri="{C3380CC4-5D6E-409C-BE32-E72D297353CC}">
                <c16:uniqueId val="{00000005-084B-4E82-85A7-AA1A2A846DA7}"/>
              </c:ext>
            </c:extLst>
          </c:dPt>
          <c:cat>
            <c:strRef>
              <c:f>Sheet5!$A$4:$A$5</c:f>
              <c:strCache>
                <c:ptCount val="1"/>
                <c:pt idx="0">
                  <c:v>Sales</c:v>
                </c:pt>
              </c:strCache>
            </c:strRef>
          </c:cat>
          <c:val>
            <c:numRef>
              <c:f>Sheet5!$B$4:$B$5</c:f>
              <c:numCache>
                <c:formatCode>0.00%</c:formatCode>
                <c:ptCount val="1"/>
                <c:pt idx="0">
                  <c:v>1</c:v>
                </c:pt>
              </c:numCache>
            </c:numRef>
          </c:val>
          <c:extLst>
            <c:ext xmlns:c16="http://schemas.microsoft.com/office/drawing/2014/chart" uri="{C3380CC4-5D6E-409C-BE32-E72D297353CC}">
              <c16:uniqueId val="{00000006-084B-4E82-85A7-AA1A2A846DA7}"/>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8832684708686396"/>
          <c:y val="0.21678096689526713"/>
          <c:w val="0.21167315291313607"/>
          <c:h val="0.540836427704601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594064652888183"/>
          <c:y val="0.10292953285827396"/>
          <c:w val="0.55272919978802326"/>
          <c:h val="0.82581155977830567"/>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F2C-4D4D-8561-DFABEAC878A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F2C-4D4D-8561-DFABEAC878A8}"/>
              </c:ext>
            </c:extLst>
          </c:dPt>
          <c:val>
            <c:numRef>
              <c:f>Sheet2!$B$6:$B$7</c:f>
              <c:numCache>
                <c:formatCode>General</c:formatCode>
                <c:ptCount val="2"/>
                <c:pt idx="0">
                  <c:v>2.3696498054474708</c:v>
                </c:pt>
                <c:pt idx="1">
                  <c:v>1.6303501945525292</c:v>
                </c:pt>
              </c:numCache>
            </c:numRef>
          </c:val>
          <c:extLst>
            <c:ext xmlns:c16="http://schemas.microsoft.com/office/drawing/2014/chart" uri="{C3380CC4-5D6E-409C-BE32-E72D297353CC}">
              <c16:uniqueId val="{00000000-19F8-44BA-9D88-A2818C1B431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Sheet2!$B$6</c:f>
              <c:numCache>
                <c:formatCode>General</c:formatCode>
                <c:ptCount val="1"/>
                <c:pt idx="0">
                  <c:v>2.3696498054474708</c:v>
                </c:pt>
              </c:numCache>
            </c:numRef>
          </c:val>
          <c:extLst>
            <c:ext xmlns:c16="http://schemas.microsoft.com/office/drawing/2014/chart" uri="{C3380CC4-5D6E-409C-BE32-E72D297353CC}">
              <c16:uniqueId val="{00000000-922D-4805-9EB5-96481F63D8E0}"/>
            </c:ext>
          </c:extLst>
        </c:ser>
        <c:ser>
          <c:idx val="1"/>
          <c:order val="1"/>
          <c:spPr>
            <a:solidFill>
              <a:schemeClr val="accent2"/>
            </a:solidFill>
            <a:ln>
              <a:noFill/>
            </a:ln>
            <a:effectLst/>
          </c:spPr>
          <c:invertIfNegative val="0"/>
          <c:val>
            <c:numRef>
              <c:f>Sheet2!$B$7</c:f>
              <c:numCache>
                <c:formatCode>General</c:formatCode>
                <c:ptCount val="1"/>
                <c:pt idx="0">
                  <c:v>1.6303501945525292</c:v>
                </c:pt>
              </c:numCache>
            </c:numRef>
          </c:val>
          <c:extLst>
            <c:ext xmlns:c16="http://schemas.microsoft.com/office/drawing/2014/chart" uri="{C3380CC4-5D6E-409C-BE32-E72D297353CC}">
              <c16:uniqueId val="{00000001-922D-4805-9EB5-96481F63D8E0}"/>
            </c:ext>
          </c:extLst>
        </c:ser>
        <c:dLbls>
          <c:showLegendKey val="0"/>
          <c:showVal val="0"/>
          <c:showCatName val="0"/>
          <c:showSerName val="0"/>
          <c:showPercent val="0"/>
          <c:showBubbleSize val="0"/>
        </c:dLbls>
        <c:gapWidth val="0"/>
        <c:overlap val="100"/>
        <c:axId val="1550546448"/>
        <c:axId val="1550558448"/>
      </c:barChart>
      <c:catAx>
        <c:axId val="1550546448"/>
        <c:scaling>
          <c:orientation val="minMax"/>
        </c:scaling>
        <c:delete val="1"/>
        <c:axPos val="l"/>
        <c:majorTickMark val="out"/>
        <c:minorTickMark val="none"/>
        <c:tickLblPos val="nextTo"/>
        <c:crossAx val="1550558448"/>
        <c:crosses val="autoZero"/>
        <c:auto val="1"/>
        <c:lblAlgn val="ctr"/>
        <c:lblOffset val="100"/>
        <c:noMultiLvlLbl val="0"/>
      </c:catAx>
      <c:valAx>
        <c:axId val="1550558448"/>
        <c:scaling>
          <c:orientation val="minMax"/>
          <c:max val="4"/>
        </c:scaling>
        <c:delete val="1"/>
        <c:axPos val="b"/>
        <c:numFmt formatCode="General" sourceLinked="1"/>
        <c:majorTickMark val="out"/>
        <c:minorTickMark val="none"/>
        <c:tickLblPos val="nextTo"/>
        <c:crossAx val="155054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876640419947507"/>
          <c:y val="2.3509754579646616E-2"/>
          <c:w val="0.77120524934383206"/>
          <c:h val="0.97649024542035334"/>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47E-436C-8FA9-62AC040C98D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47E-436C-8FA9-62AC040C98D9}"/>
              </c:ext>
            </c:extLst>
          </c:dPt>
          <c:val>
            <c:numRef>
              <c:f>Sheet3!$C$9:$C$10</c:f>
              <c:numCache>
                <c:formatCode>0%</c:formatCode>
                <c:ptCount val="2"/>
                <c:pt idx="0">
                  <c:v>0</c:v>
                </c:pt>
                <c:pt idx="1">
                  <c:v>1</c:v>
                </c:pt>
              </c:numCache>
            </c:numRef>
          </c:val>
          <c:extLst>
            <c:ext xmlns:c16="http://schemas.microsoft.com/office/drawing/2014/chart" uri="{C3380CC4-5D6E-409C-BE32-E72D297353CC}">
              <c16:uniqueId val="{00000000-36B4-4B49-B4D8-ECEA804D6F01}"/>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3125378558449436E-2"/>
          <c:y val="3.7361055674492299E-2"/>
          <c:w val="0.84942963860286691"/>
          <c:h val="0.96263894432550767"/>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B59-437F-8C34-425DA4B864D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B59-437F-8C34-425DA4B864D3}"/>
              </c:ext>
            </c:extLst>
          </c:dPt>
          <c:val>
            <c:numRef>
              <c:f>Sheet3!$C$9:$C$10</c:f>
              <c:numCache>
                <c:formatCode>0%</c:formatCode>
                <c:ptCount val="2"/>
                <c:pt idx="0">
                  <c:v>0</c:v>
                </c:pt>
                <c:pt idx="1">
                  <c:v>1</c:v>
                </c:pt>
              </c:numCache>
            </c:numRef>
          </c:val>
          <c:extLst>
            <c:ext xmlns:c16="http://schemas.microsoft.com/office/drawing/2014/chart" uri="{C3380CC4-5D6E-409C-BE32-E72D297353CC}">
              <c16:uniqueId val="{00000004-9B59-437F-8C34-425DA4B864D3}"/>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DATA_Excel.xlsx]Sheet4!Education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Sheet4!$A$4:$A$9</c:f>
              <c:strCache>
                <c:ptCount val="5"/>
                <c:pt idx="0">
                  <c:v>Life Sciences</c:v>
                </c:pt>
                <c:pt idx="1">
                  <c:v>Marketing</c:v>
                </c:pt>
                <c:pt idx="2">
                  <c:v>Medical</c:v>
                </c:pt>
                <c:pt idx="3">
                  <c:v>Other</c:v>
                </c:pt>
                <c:pt idx="4">
                  <c:v>Technical Degree</c:v>
                </c:pt>
              </c:strCache>
            </c:strRef>
          </c:cat>
          <c:val>
            <c:numRef>
              <c:f>Sheet4!$B$4:$B$9</c:f>
              <c:numCache>
                <c:formatCode>General</c:formatCode>
                <c:ptCount val="5"/>
                <c:pt idx="0">
                  <c:v>29</c:v>
                </c:pt>
                <c:pt idx="1">
                  <c:v>35</c:v>
                </c:pt>
                <c:pt idx="2">
                  <c:v>14</c:v>
                </c:pt>
                <c:pt idx="3">
                  <c:v>4</c:v>
                </c:pt>
                <c:pt idx="4">
                  <c:v>10</c:v>
                </c:pt>
              </c:numCache>
            </c:numRef>
          </c:val>
          <c:extLst>
            <c:ext xmlns:c16="http://schemas.microsoft.com/office/drawing/2014/chart" uri="{C3380CC4-5D6E-409C-BE32-E72D297353CC}">
              <c16:uniqueId val="{00000000-EEB0-4033-98C7-64A1BA46D758}"/>
            </c:ext>
          </c:extLst>
        </c:ser>
        <c:dLbls>
          <c:showLegendKey val="0"/>
          <c:showVal val="0"/>
          <c:showCatName val="0"/>
          <c:showSerName val="0"/>
          <c:showPercent val="0"/>
          <c:showBubbleSize val="0"/>
        </c:dLbls>
        <c:gapWidth val="182"/>
        <c:axId val="1550533968"/>
        <c:axId val="1550534448"/>
      </c:barChart>
      <c:catAx>
        <c:axId val="1550533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534448"/>
        <c:crosses val="autoZero"/>
        <c:auto val="1"/>
        <c:lblAlgn val="ctr"/>
        <c:lblOffset val="100"/>
        <c:noMultiLvlLbl val="0"/>
      </c:catAx>
      <c:valAx>
        <c:axId val="15505344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533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DATA_Excel.xlsx]Sheet5!department wise attrition</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Sheet5!$B$3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5BC-4ED5-9DB1-F88B6CF7F5C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5BC-4ED5-9DB1-F88B6CF7F5C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5BC-4ED5-9DB1-F88B6CF7F5C0}"/>
              </c:ext>
            </c:extLst>
          </c:dPt>
          <c:cat>
            <c:strRef>
              <c:f>Sheet5!$A$4:$A$5</c:f>
              <c:strCache>
                <c:ptCount val="1"/>
                <c:pt idx="0">
                  <c:v>Sales</c:v>
                </c:pt>
              </c:strCache>
            </c:strRef>
          </c:cat>
          <c:val>
            <c:numRef>
              <c:f>Sheet5!$B$4:$B$5</c:f>
              <c:numCache>
                <c:formatCode>0.00%</c:formatCode>
                <c:ptCount val="1"/>
                <c:pt idx="0">
                  <c:v>1</c:v>
                </c:pt>
              </c:numCache>
            </c:numRef>
          </c:val>
          <c:extLst>
            <c:ext xmlns:c16="http://schemas.microsoft.com/office/drawing/2014/chart" uri="{C3380CC4-5D6E-409C-BE32-E72D297353CC}">
              <c16:uniqueId val="{00000000-092F-4607-980E-8BA1F8A449C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DATA_Excel.xlsx]Sheet8!attrition by age group</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82635464959403"/>
          <c:y val="2.6805854978230209E-2"/>
          <c:w val="0.86317364535040597"/>
          <c:h val="0.83309776614672804"/>
        </c:manualLayout>
      </c:layout>
      <c:barChart>
        <c:barDir val="col"/>
        <c:grouping val="clustered"/>
        <c:varyColors val="0"/>
        <c:ser>
          <c:idx val="0"/>
          <c:order val="0"/>
          <c:tx>
            <c:strRef>
              <c:f>Sheet8!$B$3</c:f>
              <c:strCache>
                <c:ptCount val="1"/>
                <c:pt idx="0">
                  <c:v>Total</c:v>
                </c:pt>
              </c:strCache>
            </c:strRef>
          </c:tx>
          <c:spPr>
            <a:solidFill>
              <a:schemeClr val="accent1"/>
            </a:solidFill>
            <a:ln>
              <a:noFill/>
            </a:ln>
            <a:effectLst/>
          </c:spPr>
          <c:invertIfNegative val="0"/>
          <c:cat>
            <c:strRef>
              <c:f>Sheet8!$A$4:$A$9</c:f>
              <c:strCache>
                <c:ptCount val="5"/>
                <c:pt idx="0">
                  <c:v>Over 55</c:v>
                </c:pt>
                <c:pt idx="1">
                  <c:v>Under 25</c:v>
                </c:pt>
                <c:pt idx="2">
                  <c:v>45 - 54</c:v>
                </c:pt>
                <c:pt idx="3">
                  <c:v>35 - 44</c:v>
                </c:pt>
                <c:pt idx="4">
                  <c:v>25 - 34</c:v>
                </c:pt>
              </c:strCache>
            </c:strRef>
          </c:cat>
          <c:val>
            <c:numRef>
              <c:f>Sheet8!$B$4:$B$9</c:f>
              <c:numCache>
                <c:formatCode>General</c:formatCode>
                <c:ptCount val="5"/>
                <c:pt idx="0">
                  <c:v>2</c:v>
                </c:pt>
                <c:pt idx="1">
                  <c:v>14</c:v>
                </c:pt>
                <c:pt idx="2">
                  <c:v>17</c:v>
                </c:pt>
                <c:pt idx="3">
                  <c:v>20</c:v>
                </c:pt>
                <c:pt idx="4">
                  <c:v>39</c:v>
                </c:pt>
              </c:numCache>
            </c:numRef>
          </c:val>
          <c:extLst>
            <c:ext xmlns:c16="http://schemas.microsoft.com/office/drawing/2014/chart" uri="{C3380CC4-5D6E-409C-BE32-E72D297353CC}">
              <c16:uniqueId val="{00000000-7157-4827-81C4-0A967F34CF9C}"/>
            </c:ext>
          </c:extLst>
        </c:ser>
        <c:dLbls>
          <c:showLegendKey val="0"/>
          <c:showVal val="0"/>
          <c:showCatName val="0"/>
          <c:showSerName val="0"/>
          <c:showPercent val="0"/>
          <c:showBubbleSize val="0"/>
        </c:dLbls>
        <c:gapWidth val="219"/>
        <c:overlap val="-27"/>
        <c:axId val="1550523888"/>
        <c:axId val="1550527248"/>
      </c:barChart>
      <c:catAx>
        <c:axId val="1550523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527248"/>
        <c:crosses val="autoZero"/>
        <c:auto val="1"/>
        <c:lblAlgn val="ctr"/>
        <c:lblOffset val="100"/>
        <c:noMultiLvlLbl val="0"/>
      </c:catAx>
      <c:valAx>
        <c:axId val="15505272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523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DATA_Excel.xlsx]Sheet11!education</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Sheet11!$B$3</c:f>
              <c:strCache>
                <c:ptCount val="1"/>
                <c:pt idx="0">
                  <c:v>Total</c:v>
                </c:pt>
              </c:strCache>
            </c:strRef>
          </c:tx>
          <c:spPr>
            <a:solidFill>
              <a:schemeClr val="accent1"/>
            </a:solidFill>
            <a:ln>
              <a:noFill/>
            </a:ln>
            <a:effectLst/>
          </c:spPr>
          <c:invertIfNegative val="0"/>
          <c:cat>
            <c:strRef>
              <c:f>Sheet11!$A$4:$A$9</c:f>
              <c:strCache>
                <c:ptCount val="5"/>
                <c:pt idx="0">
                  <c:v>Doctoral Degree</c:v>
                </c:pt>
                <c:pt idx="1">
                  <c:v>High School</c:v>
                </c:pt>
                <c:pt idx="2">
                  <c:v>Associates Degree</c:v>
                </c:pt>
                <c:pt idx="3">
                  <c:v>Master's Degree</c:v>
                </c:pt>
                <c:pt idx="4">
                  <c:v>Bachelor's Degree</c:v>
                </c:pt>
              </c:strCache>
            </c:strRef>
          </c:cat>
          <c:val>
            <c:numRef>
              <c:f>Sheet11!$B$4:$B$9</c:f>
              <c:numCache>
                <c:formatCode>General</c:formatCode>
                <c:ptCount val="5"/>
                <c:pt idx="0">
                  <c:v>15</c:v>
                </c:pt>
                <c:pt idx="1">
                  <c:v>50</c:v>
                </c:pt>
                <c:pt idx="2">
                  <c:v>87</c:v>
                </c:pt>
                <c:pt idx="3">
                  <c:v>128</c:v>
                </c:pt>
                <c:pt idx="4">
                  <c:v>166</c:v>
                </c:pt>
              </c:numCache>
            </c:numRef>
          </c:val>
          <c:extLst>
            <c:ext xmlns:c16="http://schemas.microsoft.com/office/drawing/2014/chart" uri="{C3380CC4-5D6E-409C-BE32-E72D297353CC}">
              <c16:uniqueId val="{00000000-D0ED-4EBC-9F4F-00FDDA032754}"/>
            </c:ext>
          </c:extLst>
        </c:ser>
        <c:dLbls>
          <c:showLegendKey val="0"/>
          <c:showVal val="0"/>
          <c:showCatName val="0"/>
          <c:showSerName val="0"/>
          <c:showPercent val="0"/>
          <c:showBubbleSize val="0"/>
        </c:dLbls>
        <c:gapWidth val="182"/>
        <c:axId val="457363807"/>
        <c:axId val="457360447"/>
      </c:barChart>
      <c:catAx>
        <c:axId val="457363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360447"/>
        <c:crosses val="autoZero"/>
        <c:auto val="1"/>
        <c:lblAlgn val="ctr"/>
        <c:lblOffset val="100"/>
        <c:noMultiLvlLbl val="0"/>
      </c:catAx>
      <c:valAx>
        <c:axId val="4573604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363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_xlchart.v1.1</cx:f>
      </cx:strDim>
      <cx:numDim type="size">
        <cx:f>_xlchart.v1.2</cx:f>
      </cx:numDim>
    </cx:data>
  </cx:chartData>
  <cx:chart>
    <cx:plotArea>
      <cx:plotAreaRegion>
        <cx:series layoutId="treemap" uniqueId="{1A468894-F1CA-4762-B5E8-327DC1BC7F53}">
          <cx:dataLabels pos="inEnd">
            <cx:visibility seriesName="0" categoryName="1" value="0"/>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_xlchart.v2.0</cx:f>
      </cx:numDim>
    </cx:data>
  </cx:chartData>
  <cx:chart>
    <cx:plotArea>
      <cx:plotAreaRegion>
        <cx:plotSurface>
          <cx:spPr>
            <a:noFill/>
            <a:ln>
              <a:noFill/>
            </a:ln>
          </cx:spPr>
        </cx:plotSurface>
        <cx:series layoutId="funnel" uniqueId="{D540D767-E6C4-4D2F-ABD1-024614C9158B}">
          <cx:spPr>
            <a:solidFill>
              <a:srgbClr val="008080"/>
            </a:solidFill>
          </cx:spPr>
          <cx:dataLabels>
            <cx:visibility seriesName="0" categoryName="0" value="1"/>
          </cx:dataLabels>
          <cx:dataId val="0"/>
        </cx:series>
      </cx:plotAreaRegion>
      <cx:axis id="0">
        <cx:catScaling gapWidth="0.0599999987"/>
        <cx:tickLabels/>
        <cx:spPr>
          <a:ln>
            <a:noFill/>
          </a:ln>
        </cx:spPr>
      </cx:axis>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_xlchart.v1.4</cx:f>
      </cx:numDim>
    </cx:data>
  </cx:chartData>
  <cx:chart>
    <cx:plotArea>
      <cx:plotAreaRegion>
        <cx:series layoutId="treemap" uniqueId="{1A468894-F1CA-4762-B5E8-327DC1BC7F53}">
          <cx:dataLabels pos="inEnd">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_xlchart.v2.5</cx:f>
      </cx:numDim>
    </cx:data>
  </cx:chartData>
  <cx:chart>
    <cx:plotArea>
      <cx:plotAreaRegion>
        <cx:series layoutId="funnel" uniqueId="{D540D767-E6C4-4D2F-ABD1-024614C9158B}">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png"/><Relationship Id="rId18" Type="http://schemas.microsoft.com/office/2014/relationships/chartEx" Target="../charts/chartEx1.xml"/><Relationship Id="rId3" Type="http://schemas.openxmlformats.org/officeDocument/2006/relationships/chart" Target="../charts/chart2.xml"/><Relationship Id="rId21" Type="http://schemas.microsoft.com/office/2014/relationships/chartEx" Target="../charts/chartEx2.xml"/><Relationship Id="rId7" Type="http://schemas.openxmlformats.org/officeDocument/2006/relationships/chart" Target="../charts/chart4.xml"/><Relationship Id="rId12" Type="http://schemas.openxmlformats.org/officeDocument/2006/relationships/image" Target="../media/image7.png"/><Relationship Id="rId17" Type="http://schemas.openxmlformats.org/officeDocument/2006/relationships/chart" Target="../charts/chart5.xml"/><Relationship Id="rId2" Type="http://schemas.openxmlformats.org/officeDocument/2006/relationships/chart" Target="../charts/chart1.xml"/><Relationship Id="rId16" Type="http://schemas.openxmlformats.org/officeDocument/2006/relationships/image" Target="../media/image11.svg"/><Relationship Id="rId20"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chart" Target="../charts/chart3.xml"/><Relationship Id="rId11" Type="http://schemas.openxmlformats.org/officeDocument/2006/relationships/image" Target="../media/image6.png"/><Relationship Id="rId5" Type="http://schemas.microsoft.com/office/2007/relationships/hdphoto" Target="../media/hdphoto1.wdp"/><Relationship Id="rId15" Type="http://schemas.openxmlformats.org/officeDocument/2006/relationships/image" Target="../media/image10.png"/><Relationship Id="rId10" Type="http://schemas.openxmlformats.org/officeDocument/2006/relationships/image" Target="../media/image5.png"/><Relationship Id="rId19" Type="http://schemas.openxmlformats.org/officeDocument/2006/relationships/chart" Target="../charts/chart6.xml"/><Relationship Id="rId4" Type="http://schemas.openxmlformats.org/officeDocument/2006/relationships/image" Target="../media/image2.png"/><Relationship Id="rId9" Type="http://schemas.openxmlformats.org/officeDocument/2006/relationships/image" Target="../media/image4.png"/><Relationship Id="rId14" Type="http://schemas.openxmlformats.org/officeDocument/2006/relationships/image" Target="../media/image9.svg"/></Relationships>
</file>

<file path=xl/drawings/_rels/drawing3.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1" Type="http://schemas.microsoft.com/office/2014/relationships/chartEx" Target="../charts/chartEx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microsoft.com/office/2014/relationships/chartEx" Target="../charts/chartEx4.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2</xdr:col>
      <xdr:colOff>270075</xdr:colOff>
      <xdr:row>0</xdr:row>
      <xdr:rowOff>182880</xdr:rowOff>
    </xdr:from>
    <xdr:to>
      <xdr:col>26</xdr:col>
      <xdr:colOff>433551</xdr:colOff>
      <xdr:row>54</xdr:row>
      <xdr:rowOff>39414</xdr:rowOff>
    </xdr:to>
    <xdr:sp macro="" textlink="">
      <xdr:nvSpPr>
        <xdr:cNvPr id="2" name="Rectangle 1">
          <a:extLst>
            <a:ext uri="{FF2B5EF4-FFF2-40B4-BE49-F238E27FC236}">
              <a16:creationId xmlns:a16="http://schemas.microsoft.com/office/drawing/2014/main" id="{3C9892F9-92F6-CFBF-F7EF-A9109773D2EF}"/>
            </a:ext>
          </a:extLst>
        </xdr:cNvPr>
        <xdr:cNvSpPr/>
      </xdr:nvSpPr>
      <xdr:spPr>
        <a:xfrm>
          <a:off x="1610144" y="182880"/>
          <a:ext cx="16244304" cy="10498258"/>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313469</xdr:colOff>
      <xdr:row>6</xdr:row>
      <xdr:rowOff>85922</xdr:rowOff>
    </xdr:from>
    <xdr:to>
      <xdr:col>7</xdr:col>
      <xdr:colOff>275897</xdr:colOff>
      <xdr:row>12</xdr:row>
      <xdr:rowOff>78827</xdr:rowOff>
    </xdr:to>
    <xdr:sp macro="" textlink="">
      <xdr:nvSpPr>
        <xdr:cNvPr id="6" name="Rectangle: Rounded Corners 5">
          <a:extLst>
            <a:ext uri="{FF2B5EF4-FFF2-40B4-BE49-F238E27FC236}">
              <a16:creationId xmlns:a16="http://schemas.microsoft.com/office/drawing/2014/main" id="{74AFD913-8235-5EC3-E40E-1229F10977D2}"/>
            </a:ext>
          </a:extLst>
        </xdr:cNvPr>
        <xdr:cNvSpPr/>
      </xdr:nvSpPr>
      <xdr:spPr>
        <a:xfrm>
          <a:off x="1653538" y="1268336"/>
          <a:ext cx="3312600" cy="1175319"/>
        </a:xfrm>
        <a:prstGeom prst="roundRect">
          <a:avLst>
            <a:gd name="adj" fmla="val 7724"/>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328447</xdr:colOff>
      <xdr:row>1</xdr:row>
      <xdr:rowOff>52551</xdr:rowOff>
    </xdr:from>
    <xdr:to>
      <xdr:col>15</xdr:col>
      <xdr:colOff>617483</xdr:colOff>
      <xdr:row>5</xdr:row>
      <xdr:rowOff>183931</xdr:rowOff>
    </xdr:to>
    <xdr:sp macro="" textlink="">
      <xdr:nvSpPr>
        <xdr:cNvPr id="11" name="Rectangle: Rounded Corners 10">
          <a:extLst>
            <a:ext uri="{FF2B5EF4-FFF2-40B4-BE49-F238E27FC236}">
              <a16:creationId xmlns:a16="http://schemas.microsoft.com/office/drawing/2014/main" id="{C4FAC0E1-D597-BABB-E5C2-57CC0E1B481A}"/>
            </a:ext>
          </a:extLst>
        </xdr:cNvPr>
        <xdr:cNvSpPr/>
      </xdr:nvSpPr>
      <xdr:spPr>
        <a:xfrm>
          <a:off x="1668516" y="249620"/>
          <a:ext cx="8999484" cy="919656"/>
        </a:xfrm>
        <a:prstGeom prst="roundRect">
          <a:avLst>
            <a:gd name="adj" fmla="val 12357"/>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252000" rtlCol="0" anchor="ctr" anchorCtr="0"/>
        <a:lstStyle/>
        <a:p>
          <a:pPr algn="l"/>
          <a:r>
            <a:rPr lang="en-IN" sz="5400" b="1">
              <a:solidFill>
                <a:schemeClr val="tx1">
                  <a:lumMod val="95000"/>
                  <a:lumOff val="5000"/>
                </a:schemeClr>
              </a:solidFill>
              <a:latin typeface="Aptos Narrow" panose="020B0004020202020204" pitchFamily="34" charset="0"/>
            </a:rPr>
            <a:t>     HR ANALYTICS DASHBOARD</a:t>
          </a:r>
        </a:p>
      </xdr:txBody>
    </xdr:sp>
    <xdr:clientData/>
  </xdr:twoCellAnchor>
  <xdr:twoCellAnchor>
    <xdr:from>
      <xdr:col>16</xdr:col>
      <xdr:colOff>52552</xdr:colOff>
      <xdr:row>1</xdr:row>
      <xdr:rowOff>65689</xdr:rowOff>
    </xdr:from>
    <xdr:to>
      <xdr:col>26</xdr:col>
      <xdr:colOff>354724</xdr:colOff>
      <xdr:row>5</xdr:row>
      <xdr:rowOff>183931</xdr:rowOff>
    </xdr:to>
    <xdr:sp macro="" textlink="">
      <xdr:nvSpPr>
        <xdr:cNvPr id="13" name="Rectangle: Rounded Corners 12">
          <a:extLst>
            <a:ext uri="{FF2B5EF4-FFF2-40B4-BE49-F238E27FC236}">
              <a16:creationId xmlns:a16="http://schemas.microsoft.com/office/drawing/2014/main" id="{5027AF3C-85E4-EDF8-4D4F-DA14355AE4A7}"/>
            </a:ext>
          </a:extLst>
        </xdr:cNvPr>
        <xdr:cNvSpPr/>
      </xdr:nvSpPr>
      <xdr:spPr>
        <a:xfrm>
          <a:off x="10773104" y="262758"/>
          <a:ext cx="7002517" cy="906518"/>
        </a:xfrm>
        <a:prstGeom prst="roundRect">
          <a:avLst>
            <a:gd name="adj" fmla="val 9421"/>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a:t>           </a:t>
          </a:r>
          <a:r>
            <a:rPr lang="en-IN" sz="2400" baseline="0"/>
            <a:t> </a:t>
          </a:r>
          <a:r>
            <a:rPr lang="en-IN" sz="2400" b="1">
              <a:solidFill>
                <a:sysClr val="windowText" lastClr="000000"/>
              </a:solidFill>
            </a:rPr>
            <a:t>Job</a:t>
          </a:r>
          <a:r>
            <a:rPr lang="en-IN" sz="2400" b="1" baseline="0">
              <a:solidFill>
                <a:sysClr val="windowText" lastClr="000000"/>
              </a:solidFill>
            </a:rPr>
            <a:t> Satisfaction </a:t>
          </a:r>
        </a:p>
        <a:p>
          <a:pPr algn="l"/>
          <a:r>
            <a:rPr lang="en-IN" sz="2400" b="1" baseline="0">
              <a:solidFill>
                <a:sysClr val="windowText" lastClr="000000"/>
              </a:solidFill>
            </a:rPr>
            <a:t>                  Rating</a:t>
          </a:r>
          <a:endParaRPr lang="en-IN" sz="2400" b="1">
            <a:solidFill>
              <a:sysClr val="windowText" lastClr="000000"/>
            </a:solidFill>
          </a:endParaRPr>
        </a:p>
      </xdr:txBody>
    </xdr:sp>
    <xdr:clientData/>
  </xdr:twoCellAnchor>
  <xdr:twoCellAnchor>
    <xdr:from>
      <xdr:col>21</xdr:col>
      <xdr:colOff>643760</xdr:colOff>
      <xdr:row>6</xdr:row>
      <xdr:rowOff>72522</xdr:rowOff>
    </xdr:from>
    <xdr:to>
      <xdr:col>26</xdr:col>
      <xdr:colOff>367863</xdr:colOff>
      <xdr:row>12</xdr:row>
      <xdr:rowOff>65427</xdr:rowOff>
    </xdr:to>
    <xdr:sp macro="" textlink="">
      <xdr:nvSpPr>
        <xdr:cNvPr id="15" name="Rectangle: Rounded Corners 14">
          <a:extLst>
            <a:ext uri="{FF2B5EF4-FFF2-40B4-BE49-F238E27FC236}">
              <a16:creationId xmlns:a16="http://schemas.microsoft.com/office/drawing/2014/main" id="{8FC6BF5D-AA33-407A-A077-A542463DC667}"/>
            </a:ext>
          </a:extLst>
        </xdr:cNvPr>
        <xdr:cNvSpPr/>
      </xdr:nvSpPr>
      <xdr:spPr>
        <a:xfrm>
          <a:off x="14714484" y="1254936"/>
          <a:ext cx="3074276" cy="1175319"/>
        </a:xfrm>
        <a:prstGeom prst="roundRect">
          <a:avLst>
            <a:gd name="adj" fmla="val 8842"/>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341587</xdr:colOff>
      <xdr:row>6</xdr:row>
      <xdr:rowOff>91965</xdr:rowOff>
    </xdr:from>
    <xdr:to>
      <xdr:col>12</xdr:col>
      <xdr:colOff>302172</xdr:colOff>
      <xdr:row>12</xdr:row>
      <xdr:rowOff>73308</xdr:rowOff>
    </xdr:to>
    <xdr:sp macro="" textlink="">
      <xdr:nvSpPr>
        <xdr:cNvPr id="16" name="Rectangle: Rounded Corners 15">
          <a:extLst>
            <a:ext uri="{FF2B5EF4-FFF2-40B4-BE49-F238E27FC236}">
              <a16:creationId xmlns:a16="http://schemas.microsoft.com/office/drawing/2014/main" id="{EF5EA968-33B5-4148-9A4A-92F452D20221}"/>
            </a:ext>
          </a:extLst>
        </xdr:cNvPr>
        <xdr:cNvSpPr/>
      </xdr:nvSpPr>
      <xdr:spPr>
        <a:xfrm>
          <a:off x="5031828" y="1274379"/>
          <a:ext cx="3310758" cy="1163757"/>
        </a:xfrm>
        <a:prstGeom prst="roundRect">
          <a:avLst>
            <a:gd name="adj" fmla="val 8842"/>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367863</xdr:colOff>
      <xdr:row>6</xdr:row>
      <xdr:rowOff>88285</xdr:rowOff>
    </xdr:from>
    <xdr:to>
      <xdr:col>17</xdr:col>
      <xdr:colOff>26276</xdr:colOff>
      <xdr:row>12</xdr:row>
      <xdr:rowOff>81190</xdr:rowOff>
    </xdr:to>
    <xdr:sp macro="" textlink="">
      <xdr:nvSpPr>
        <xdr:cNvPr id="17" name="Rectangle: Rounded Corners 16">
          <a:extLst>
            <a:ext uri="{FF2B5EF4-FFF2-40B4-BE49-F238E27FC236}">
              <a16:creationId xmlns:a16="http://schemas.microsoft.com/office/drawing/2014/main" id="{174C11CF-CC3A-4C42-A48B-9E70194B562E}"/>
            </a:ext>
          </a:extLst>
        </xdr:cNvPr>
        <xdr:cNvSpPr/>
      </xdr:nvSpPr>
      <xdr:spPr>
        <a:xfrm>
          <a:off x="8408277" y="1270699"/>
          <a:ext cx="3008585" cy="1175319"/>
        </a:xfrm>
        <a:prstGeom prst="roundRect">
          <a:avLst>
            <a:gd name="adj" fmla="val 8842"/>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78828</xdr:colOff>
      <xdr:row>6</xdr:row>
      <xdr:rowOff>105102</xdr:rowOff>
    </xdr:from>
    <xdr:to>
      <xdr:col>21</xdr:col>
      <xdr:colOff>591207</xdr:colOff>
      <xdr:row>12</xdr:row>
      <xdr:rowOff>65689</xdr:rowOff>
    </xdr:to>
    <xdr:sp macro="" textlink="">
      <xdr:nvSpPr>
        <xdr:cNvPr id="18" name="Rectangle: Rounded Corners 17">
          <a:extLst>
            <a:ext uri="{FF2B5EF4-FFF2-40B4-BE49-F238E27FC236}">
              <a16:creationId xmlns:a16="http://schemas.microsoft.com/office/drawing/2014/main" id="{A400D33C-D8B4-4676-A2B8-3DCB6F058AA7}"/>
            </a:ext>
          </a:extLst>
        </xdr:cNvPr>
        <xdr:cNvSpPr/>
      </xdr:nvSpPr>
      <xdr:spPr>
        <a:xfrm>
          <a:off x="11469414" y="1287516"/>
          <a:ext cx="3192517" cy="1143001"/>
        </a:xfrm>
        <a:prstGeom prst="roundRect">
          <a:avLst>
            <a:gd name="adj" fmla="val 11078"/>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394136</xdr:colOff>
      <xdr:row>12</xdr:row>
      <xdr:rowOff>170792</xdr:rowOff>
    </xdr:from>
    <xdr:to>
      <xdr:col>10</xdr:col>
      <xdr:colOff>394137</xdr:colOff>
      <xdr:row>32</xdr:row>
      <xdr:rowOff>91965</xdr:rowOff>
    </xdr:to>
    <xdr:sp macro="" textlink="">
      <xdr:nvSpPr>
        <xdr:cNvPr id="20" name="Rectangle: Rounded Corners 19">
          <a:extLst>
            <a:ext uri="{FF2B5EF4-FFF2-40B4-BE49-F238E27FC236}">
              <a16:creationId xmlns:a16="http://schemas.microsoft.com/office/drawing/2014/main" id="{A85E5BCF-6BB5-71A9-F126-74532D86E854}"/>
            </a:ext>
          </a:extLst>
        </xdr:cNvPr>
        <xdr:cNvSpPr/>
      </xdr:nvSpPr>
      <xdr:spPr>
        <a:xfrm>
          <a:off x="1734205" y="2535620"/>
          <a:ext cx="5360277" cy="3862552"/>
        </a:xfrm>
        <a:prstGeom prst="roundRect">
          <a:avLst>
            <a:gd name="adj" fmla="val 2102"/>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459827</xdr:colOff>
      <xdr:row>13</xdr:row>
      <xdr:rowOff>12086</xdr:rowOff>
    </xdr:from>
    <xdr:to>
      <xdr:col>18</xdr:col>
      <xdr:colOff>394138</xdr:colOff>
      <xdr:row>32</xdr:row>
      <xdr:rowOff>78828</xdr:rowOff>
    </xdr:to>
    <xdr:sp macro="" textlink="">
      <xdr:nvSpPr>
        <xdr:cNvPr id="21" name="Rectangle: Rounded Corners 20">
          <a:extLst>
            <a:ext uri="{FF2B5EF4-FFF2-40B4-BE49-F238E27FC236}">
              <a16:creationId xmlns:a16="http://schemas.microsoft.com/office/drawing/2014/main" id="{B2303494-E23D-40DD-B5A2-A6B4C39A6641}"/>
            </a:ext>
          </a:extLst>
        </xdr:cNvPr>
        <xdr:cNvSpPr/>
      </xdr:nvSpPr>
      <xdr:spPr>
        <a:xfrm>
          <a:off x="7160172" y="2573983"/>
          <a:ext cx="5294587" cy="3811052"/>
        </a:xfrm>
        <a:prstGeom prst="roundRect">
          <a:avLst>
            <a:gd name="adj" fmla="val 2102"/>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472965</xdr:colOff>
      <xdr:row>12</xdr:row>
      <xdr:rowOff>151348</xdr:rowOff>
    </xdr:from>
    <xdr:to>
      <xdr:col>26</xdr:col>
      <xdr:colOff>341586</xdr:colOff>
      <xdr:row>32</xdr:row>
      <xdr:rowOff>78827</xdr:rowOff>
    </xdr:to>
    <xdr:sp macro="" textlink="">
      <xdr:nvSpPr>
        <xdr:cNvPr id="22" name="Rectangle: Rounded Corners 21">
          <a:extLst>
            <a:ext uri="{FF2B5EF4-FFF2-40B4-BE49-F238E27FC236}">
              <a16:creationId xmlns:a16="http://schemas.microsoft.com/office/drawing/2014/main" id="{ADEC001C-B827-4151-9910-063168A3DD6D}"/>
            </a:ext>
          </a:extLst>
        </xdr:cNvPr>
        <xdr:cNvSpPr/>
      </xdr:nvSpPr>
      <xdr:spPr>
        <a:xfrm>
          <a:off x="12533586" y="2516176"/>
          <a:ext cx="5228897" cy="3868858"/>
        </a:xfrm>
        <a:prstGeom prst="roundRect">
          <a:avLst>
            <a:gd name="adj" fmla="val 2925"/>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xdr:col>
      <xdr:colOff>472965</xdr:colOff>
      <xdr:row>2</xdr:row>
      <xdr:rowOff>26276</xdr:rowOff>
    </xdr:from>
    <xdr:ext cx="696311" cy="628977"/>
    <xdr:pic>
      <xdr:nvPicPr>
        <xdr:cNvPr id="36" name="image1.png">
          <a:extLst>
            <a:ext uri="{FF2B5EF4-FFF2-40B4-BE49-F238E27FC236}">
              <a16:creationId xmlns:a16="http://schemas.microsoft.com/office/drawing/2014/main" id="{EBC36076-0533-4442-9C8E-4A11D9BCFE91}"/>
            </a:ext>
          </a:extLst>
        </xdr:cNvPr>
        <xdr:cNvPicPr preferRelativeResize="0"/>
      </xdr:nvPicPr>
      <xdr:blipFill>
        <a:blip xmlns:r="http://schemas.openxmlformats.org/officeDocument/2006/relationships" r:embed="rId1" cstate="print"/>
        <a:stretch>
          <a:fillRect/>
        </a:stretch>
      </xdr:blipFill>
      <xdr:spPr>
        <a:xfrm>
          <a:off x="1813034" y="420414"/>
          <a:ext cx="696311" cy="628977"/>
        </a:xfrm>
        <a:prstGeom prst="rect">
          <a:avLst/>
        </a:prstGeom>
        <a:noFill/>
      </xdr:spPr>
    </xdr:pic>
    <xdr:clientData fLocksWithSheet="0"/>
  </xdr:oneCellAnchor>
  <xdr:twoCellAnchor>
    <xdr:from>
      <xdr:col>20</xdr:col>
      <xdr:colOff>289033</xdr:colOff>
      <xdr:row>1</xdr:row>
      <xdr:rowOff>105103</xdr:rowOff>
    </xdr:from>
    <xdr:to>
      <xdr:col>21</xdr:col>
      <xdr:colOff>525517</xdr:colOff>
      <xdr:row>5</xdr:row>
      <xdr:rowOff>131379</xdr:rowOff>
    </xdr:to>
    <xdr:graphicFrame macro="">
      <xdr:nvGraphicFramePr>
        <xdr:cNvPr id="38" name="Chart 37">
          <a:extLst>
            <a:ext uri="{FF2B5EF4-FFF2-40B4-BE49-F238E27FC236}">
              <a16:creationId xmlns:a16="http://schemas.microsoft.com/office/drawing/2014/main" id="{FB45136F-EE0C-4C9F-8C38-3F119676B1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472966</xdr:colOff>
      <xdr:row>1</xdr:row>
      <xdr:rowOff>157655</xdr:rowOff>
    </xdr:from>
    <xdr:to>
      <xdr:col>26</xdr:col>
      <xdr:colOff>118240</xdr:colOff>
      <xdr:row>5</xdr:row>
      <xdr:rowOff>91965</xdr:rowOff>
    </xdr:to>
    <xdr:graphicFrame macro="">
      <xdr:nvGraphicFramePr>
        <xdr:cNvPr id="40" name="Chart 39">
          <a:extLst>
            <a:ext uri="{FF2B5EF4-FFF2-40B4-BE49-F238E27FC236}">
              <a16:creationId xmlns:a16="http://schemas.microsoft.com/office/drawing/2014/main" id="{52F535A3-FA09-400E-A7F7-4238B4732F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525517</xdr:colOff>
      <xdr:row>2</xdr:row>
      <xdr:rowOff>170793</xdr:rowOff>
    </xdr:from>
    <xdr:to>
      <xdr:col>21</xdr:col>
      <xdr:colOff>275897</xdr:colOff>
      <xdr:row>4</xdr:row>
      <xdr:rowOff>0</xdr:rowOff>
    </xdr:to>
    <xdr:sp macro="" textlink="">
      <xdr:nvSpPr>
        <xdr:cNvPr id="41" name="TextBox 40">
          <a:extLst>
            <a:ext uri="{FF2B5EF4-FFF2-40B4-BE49-F238E27FC236}">
              <a16:creationId xmlns:a16="http://schemas.microsoft.com/office/drawing/2014/main" id="{0F1EF726-822A-7CD0-1C71-5EED1DEC85ED}"/>
            </a:ext>
          </a:extLst>
        </xdr:cNvPr>
        <xdr:cNvSpPr txBox="1"/>
      </xdr:nvSpPr>
      <xdr:spPr>
        <a:xfrm>
          <a:off x="13926207" y="564931"/>
          <a:ext cx="420414" cy="223345"/>
        </a:xfrm>
        <a:prstGeom prst="rect">
          <a:avLst/>
        </a:prstGeom>
        <a:solidFill>
          <a:schemeClr val="accent2">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2.6</a:t>
          </a:r>
        </a:p>
      </xdr:txBody>
    </xdr:sp>
    <xdr:clientData/>
  </xdr:twoCellAnchor>
  <xdr:twoCellAnchor>
    <xdr:from>
      <xdr:col>21</xdr:col>
      <xdr:colOff>604345</xdr:colOff>
      <xdr:row>2</xdr:row>
      <xdr:rowOff>85660</xdr:rowOff>
    </xdr:from>
    <xdr:to>
      <xdr:col>26</xdr:col>
      <xdr:colOff>249619</xdr:colOff>
      <xdr:row>5</xdr:row>
      <xdr:rowOff>105102</xdr:rowOff>
    </xdr:to>
    <xdr:sp macro="" textlink="">
      <xdr:nvSpPr>
        <xdr:cNvPr id="43" name="Freeform: Shape 42">
          <a:extLst>
            <a:ext uri="{FF2B5EF4-FFF2-40B4-BE49-F238E27FC236}">
              <a16:creationId xmlns:a16="http://schemas.microsoft.com/office/drawing/2014/main" id="{887DABE3-B7D6-E778-DFA1-7BE78735B64B}"/>
            </a:ext>
          </a:extLst>
        </xdr:cNvPr>
        <xdr:cNvSpPr/>
      </xdr:nvSpPr>
      <xdr:spPr>
        <a:xfrm>
          <a:off x="14675069" y="479798"/>
          <a:ext cx="2995447" cy="610649"/>
        </a:xfrm>
        <a:custGeom>
          <a:avLst/>
          <a:gdLst>
            <a:gd name="csX0" fmla="*/ 546921 w 1423223"/>
            <a:gd name="csY0" fmla="*/ 112556 h 471948"/>
            <a:gd name="csX1" fmla="*/ 515877 w 1423223"/>
            <a:gd name="csY1" fmla="*/ 210769 h 471948"/>
            <a:gd name="csX2" fmla="*/ 415415 w 1423223"/>
            <a:gd name="csY2" fmla="*/ 210769 h 471948"/>
            <a:gd name="csX3" fmla="*/ 496691 w 1423223"/>
            <a:gd name="csY3" fmla="*/ 271467 h 471948"/>
            <a:gd name="csX4" fmla="*/ 465646 w 1423223"/>
            <a:gd name="csY4" fmla="*/ 369680 h 471948"/>
            <a:gd name="csX5" fmla="*/ 546921 w 1423223"/>
            <a:gd name="csY5" fmla="*/ 308981 h 471948"/>
            <a:gd name="csX6" fmla="*/ 628195 w 1423223"/>
            <a:gd name="csY6" fmla="*/ 369680 h 471948"/>
            <a:gd name="csX7" fmla="*/ 597150 w 1423223"/>
            <a:gd name="csY7" fmla="*/ 271467 h 471948"/>
            <a:gd name="csX8" fmla="*/ 678426 w 1423223"/>
            <a:gd name="csY8" fmla="*/ 210769 h 471948"/>
            <a:gd name="csX9" fmla="*/ 577964 w 1423223"/>
            <a:gd name="csY9" fmla="*/ 210769 h 471948"/>
            <a:gd name="csX10" fmla="*/ 832057 w 1423223"/>
            <a:gd name="csY10" fmla="*/ 111586 h 471948"/>
            <a:gd name="csX11" fmla="*/ 801013 w 1423223"/>
            <a:gd name="csY11" fmla="*/ 209799 h 471948"/>
            <a:gd name="csX12" fmla="*/ 700551 w 1423223"/>
            <a:gd name="csY12" fmla="*/ 209799 h 471948"/>
            <a:gd name="csX13" fmla="*/ 781827 w 1423223"/>
            <a:gd name="csY13" fmla="*/ 270497 h 471948"/>
            <a:gd name="csX14" fmla="*/ 750782 w 1423223"/>
            <a:gd name="csY14" fmla="*/ 368710 h 471948"/>
            <a:gd name="csX15" fmla="*/ 832057 w 1423223"/>
            <a:gd name="csY15" fmla="*/ 308011 h 471948"/>
            <a:gd name="csX16" fmla="*/ 913331 w 1423223"/>
            <a:gd name="csY16" fmla="*/ 368710 h 471948"/>
            <a:gd name="csX17" fmla="*/ 882286 w 1423223"/>
            <a:gd name="csY17" fmla="*/ 270497 h 471948"/>
            <a:gd name="csX18" fmla="*/ 963562 w 1423223"/>
            <a:gd name="csY18" fmla="*/ 209799 h 471948"/>
            <a:gd name="csX19" fmla="*/ 863100 w 1423223"/>
            <a:gd name="csY19" fmla="*/ 209799 h 471948"/>
            <a:gd name="csX20" fmla="*/ 261785 w 1423223"/>
            <a:gd name="csY20" fmla="*/ 111586 h 471948"/>
            <a:gd name="csX21" fmla="*/ 230741 w 1423223"/>
            <a:gd name="csY21" fmla="*/ 209799 h 471948"/>
            <a:gd name="csX22" fmla="*/ 130279 w 1423223"/>
            <a:gd name="csY22" fmla="*/ 209799 h 471948"/>
            <a:gd name="csX23" fmla="*/ 211555 w 1423223"/>
            <a:gd name="csY23" fmla="*/ 270497 h 471948"/>
            <a:gd name="csX24" fmla="*/ 180510 w 1423223"/>
            <a:gd name="csY24" fmla="*/ 368710 h 471948"/>
            <a:gd name="csX25" fmla="*/ 261785 w 1423223"/>
            <a:gd name="csY25" fmla="*/ 308011 h 471948"/>
            <a:gd name="csX26" fmla="*/ 343059 w 1423223"/>
            <a:gd name="csY26" fmla="*/ 368710 h 471948"/>
            <a:gd name="csX27" fmla="*/ 312014 w 1423223"/>
            <a:gd name="csY27" fmla="*/ 270497 h 471948"/>
            <a:gd name="csX28" fmla="*/ 393290 w 1423223"/>
            <a:gd name="csY28" fmla="*/ 209799 h 471948"/>
            <a:gd name="csX29" fmla="*/ 292828 w 1423223"/>
            <a:gd name="csY29" fmla="*/ 209799 h 471948"/>
            <a:gd name="csX30" fmla="*/ 1102443 w 1423223"/>
            <a:gd name="csY30" fmla="*/ 111585 h 471948"/>
            <a:gd name="csX31" fmla="*/ 1071399 w 1423223"/>
            <a:gd name="csY31" fmla="*/ 209798 h 471948"/>
            <a:gd name="csX32" fmla="*/ 970937 w 1423223"/>
            <a:gd name="csY32" fmla="*/ 209798 h 471948"/>
            <a:gd name="csX33" fmla="*/ 1052213 w 1423223"/>
            <a:gd name="csY33" fmla="*/ 270496 h 471948"/>
            <a:gd name="csX34" fmla="*/ 1021168 w 1423223"/>
            <a:gd name="csY34" fmla="*/ 368709 h 471948"/>
            <a:gd name="csX35" fmla="*/ 1102443 w 1423223"/>
            <a:gd name="csY35" fmla="*/ 308010 h 471948"/>
            <a:gd name="csX36" fmla="*/ 1183717 w 1423223"/>
            <a:gd name="csY36" fmla="*/ 368709 h 471948"/>
            <a:gd name="csX37" fmla="*/ 1152672 w 1423223"/>
            <a:gd name="csY37" fmla="*/ 270496 h 471948"/>
            <a:gd name="csX38" fmla="*/ 1233948 w 1423223"/>
            <a:gd name="csY38" fmla="*/ 209798 h 471948"/>
            <a:gd name="csX39" fmla="*/ 1133486 w 1423223"/>
            <a:gd name="csY39" fmla="*/ 209798 h 471948"/>
            <a:gd name="csX40" fmla="*/ 0 w 1423223"/>
            <a:gd name="csY40" fmla="*/ 0 h 471948"/>
            <a:gd name="csX41" fmla="*/ 1423223 w 1423223"/>
            <a:gd name="csY41" fmla="*/ 0 h 471948"/>
            <a:gd name="csX42" fmla="*/ 1423223 w 1423223"/>
            <a:gd name="csY42" fmla="*/ 471948 h 471948"/>
            <a:gd name="csX43" fmla="*/ 0 w 1423223"/>
            <a:gd name="csY43" fmla="*/ 471948 h 471948"/>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Lst>
          <a:rect l="l" t="t" r="r" b="b"/>
          <a:pathLst>
            <a:path w="1423223" h="471948">
              <a:moveTo>
                <a:pt x="546921" y="112556"/>
              </a:moveTo>
              <a:lnTo>
                <a:pt x="515877" y="210769"/>
              </a:lnTo>
              <a:lnTo>
                <a:pt x="415415" y="210769"/>
              </a:lnTo>
              <a:lnTo>
                <a:pt x="496691" y="271467"/>
              </a:lnTo>
              <a:lnTo>
                <a:pt x="465646" y="369680"/>
              </a:lnTo>
              <a:lnTo>
                <a:pt x="546921" y="308981"/>
              </a:lnTo>
              <a:lnTo>
                <a:pt x="628195" y="369680"/>
              </a:lnTo>
              <a:lnTo>
                <a:pt x="597150" y="271467"/>
              </a:lnTo>
              <a:lnTo>
                <a:pt x="678426" y="210769"/>
              </a:lnTo>
              <a:lnTo>
                <a:pt x="577964" y="210769"/>
              </a:lnTo>
              <a:close/>
              <a:moveTo>
                <a:pt x="832057" y="111586"/>
              </a:moveTo>
              <a:lnTo>
                <a:pt x="801013" y="209799"/>
              </a:lnTo>
              <a:lnTo>
                <a:pt x="700551" y="209799"/>
              </a:lnTo>
              <a:lnTo>
                <a:pt x="781827" y="270497"/>
              </a:lnTo>
              <a:lnTo>
                <a:pt x="750782" y="368710"/>
              </a:lnTo>
              <a:lnTo>
                <a:pt x="832057" y="308011"/>
              </a:lnTo>
              <a:lnTo>
                <a:pt x="913331" y="368710"/>
              </a:lnTo>
              <a:lnTo>
                <a:pt x="882286" y="270497"/>
              </a:lnTo>
              <a:lnTo>
                <a:pt x="963562" y="209799"/>
              </a:lnTo>
              <a:lnTo>
                <a:pt x="863100" y="209799"/>
              </a:lnTo>
              <a:close/>
              <a:moveTo>
                <a:pt x="261785" y="111586"/>
              </a:moveTo>
              <a:lnTo>
                <a:pt x="230741" y="209799"/>
              </a:lnTo>
              <a:lnTo>
                <a:pt x="130279" y="209799"/>
              </a:lnTo>
              <a:lnTo>
                <a:pt x="211555" y="270497"/>
              </a:lnTo>
              <a:lnTo>
                <a:pt x="180510" y="368710"/>
              </a:lnTo>
              <a:lnTo>
                <a:pt x="261785" y="308011"/>
              </a:lnTo>
              <a:lnTo>
                <a:pt x="343059" y="368710"/>
              </a:lnTo>
              <a:lnTo>
                <a:pt x="312014" y="270497"/>
              </a:lnTo>
              <a:lnTo>
                <a:pt x="393290" y="209799"/>
              </a:lnTo>
              <a:lnTo>
                <a:pt x="292828" y="209799"/>
              </a:lnTo>
              <a:close/>
              <a:moveTo>
                <a:pt x="1102443" y="111585"/>
              </a:moveTo>
              <a:lnTo>
                <a:pt x="1071399" y="209798"/>
              </a:lnTo>
              <a:lnTo>
                <a:pt x="970937" y="209798"/>
              </a:lnTo>
              <a:lnTo>
                <a:pt x="1052213" y="270496"/>
              </a:lnTo>
              <a:lnTo>
                <a:pt x="1021168" y="368709"/>
              </a:lnTo>
              <a:lnTo>
                <a:pt x="1102443" y="308010"/>
              </a:lnTo>
              <a:lnTo>
                <a:pt x="1183717" y="368709"/>
              </a:lnTo>
              <a:lnTo>
                <a:pt x="1152672" y="270496"/>
              </a:lnTo>
              <a:lnTo>
                <a:pt x="1233948" y="209798"/>
              </a:lnTo>
              <a:lnTo>
                <a:pt x="1133486" y="209798"/>
              </a:lnTo>
              <a:close/>
              <a:moveTo>
                <a:pt x="0" y="0"/>
              </a:moveTo>
              <a:lnTo>
                <a:pt x="1423223" y="0"/>
              </a:lnTo>
              <a:lnTo>
                <a:pt x="1423223" y="471948"/>
              </a:lnTo>
              <a:lnTo>
                <a:pt x="0" y="471948"/>
              </a:lnTo>
              <a:close/>
            </a:path>
          </a:pathLst>
        </a:cu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editAs="oneCell">
    <xdr:from>
      <xdr:col>16</xdr:col>
      <xdr:colOff>105103</xdr:colOff>
      <xdr:row>1</xdr:row>
      <xdr:rowOff>144517</xdr:rowOff>
    </xdr:from>
    <xdr:to>
      <xdr:col>17</xdr:col>
      <xdr:colOff>289035</xdr:colOff>
      <xdr:row>5</xdr:row>
      <xdr:rowOff>105103</xdr:rowOff>
    </xdr:to>
    <xdr:pic>
      <xdr:nvPicPr>
        <xdr:cNvPr id="46" name="Picture 45">
          <a:extLst>
            <a:ext uri="{FF2B5EF4-FFF2-40B4-BE49-F238E27FC236}">
              <a16:creationId xmlns:a16="http://schemas.microsoft.com/office/drawing/2014/main" id="{A1F271F4-53C0-F344-485D-9779259CDC3C}"/>
            </a:ext>
          </a:extLst>
        </xdr:cNvPr>
        <xdr:cNvPicPr>
          <a:picLocks noChangeAspect="1"/>
        </xdr:cNvPicPr>
      </xdr:nvPicPr>
      <xdr:blipFill>
        <a:blip xmlns:r="http://schemas.openxmlformats.org/officeDocument/2006/relationships" r:embed="rId4">
          <a:alphaModFix amt="70000"/>
          <a:duotone>
            <a:prstClr val="black"/>
            <a:schemeClr val="accent2">
              <a:tint val="45000"/>
              <a:satMod val="400000"/>
            </a:schemeClr>
          </a:duotone>
          <a:extLst>
            <a:ext uri="{BEBA8EAE-BF5A-486C-A8C5-ECC9F3942E4B}">
              <a14:imgProps xmlns:a14="http://schemas.microsoft.com/office/drawing/2010/main">
                <a14:imgLayer r:embed="rId5">
                  <a14:imgEffect>
                    <a14:sharpenSoften amount="25000"/>
                  </a14:imgEffect>
                  <a14:imgEffect>
                    <a14:colorTemperature colorTemp="11280"/>
                  </a14:imgEffect>
                </a14:imgLayer>
              </a14:imgProps>
            </a:ext>
          </a:extLst>
        </a:blip>
        <a:stretch>
          <a:fillRect/>
        </a:stretch>
      </xdr:blipFill>
      <xdr:spPr>
        <a:xfrm>
          <a:off x="10825655" y="341586"/>
          <a:ext cx="853966" cy="748862"/>
        </a:xfrm>
        <a:prstGeom prst="rect">
          <a:avLst/>
        </a:prstGeom>
      </xdr:spPr>
    </xdr:pic>
    <xdr:clientData/>
  </xdr:twoCellAnchor>
  <xdr:twoCellAnchor>
    <xdr:from>
      <xdr:col>4</xdr:col>
      <xdr:colOff>0</xdr:colOff>
      <xdr:row>8</xdr:row>
      <xdr:rowOff>183931</xdr:rowOff>
    </xdr:from>
    <xdr:to>
      <xdr:col>5</xdr:col>
      <xdr:colOff>525518</xdr:colOff>
      <xdr:row>11</xdr:row>
      <xdr:rowOff>131378</xdr:rowOff>
    </xdr:to>
    <xdr:sp macro="" textlink="Sheet1!A8">
      <xdr:nvSpPr>
        <xdr:cNvPr id="48" name="TextBox 47">
          <a:extLst>
            <a:ext uri="{FF2B5EF4-FFF2-40B4-BE49-F238E27FC236}">
              <a16:creationId xmlns:a16="http://schemas.microsoft.com/office/drawing/2014/main" id="{63C304AB-D796-A7D6-BA9D-1A0F2F7361F2}"/>
            </a:ext>
          </a:extLst>
        </xdr:cNvPr>
        <xdr:cNvSpPr txBox="1"/>
      </xdr:nvSpPr>
      <xdr:spPr>
        <a:xfrm>
          <a:off x="2680138" y="1760483"/>
          <a:ext cx="1195552" cy="538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860BB43-6A07-4417-AC12-832D1008E9B0}" type="TxLink">
            <a:rPr lang="en-US" sz="3200" b="1" i="0" u="none" strike="noStrike">
              <a:solidFill>
                <a:srgbClr val="000000"/>
              </a:solidFill>
              <a:latin typeface="Calibri"/>
              <a:ea typeface="Calibri"/>
              <a:cs typeface="Calibri"/>
            </a:rPr>
            <a:pPr/>
            <a:t>446</a:t>
          </a:fld>
          <a:endParaRPr lang="en-US" sz="3200" b="1"/>
        </a:p>
      </xdr:txBody>
    </xdr:sp>
    <xdr:clientData/>
  </xdr:twoCellAnchor>
  <xdr:twoCellAnchor>
    <xdr:from>
      <xdr:col>7</xdr:col>
      <xdr:colOff>446690</xdr:colOff>
      <xdr:row>6</xdr:row>
      <xdr:rowOff>105103</xdr:rowOff>
    </xdr:from>
    <xdr:to>
      <xdr:col>11</xdr:col>
      <xdr:colOff>367863</xdr:colOff>
      <xdr:row>8</xdr:row>
      <xdr:rowOff>183930</xdr:rowOff>
    </xdr:to>
    <xdr:sp macro="" textlink="">
      <xdr:nvSpPr>
        <xdr:cNvPr id="49" name="TextBox 48">
          <a:extLst>
            <a:ext uri="{FF2B5EF4-FFF2-40B4-BE49-F238E27FC236}">
              <a16:creationId xmlns:a16="http://schemas.microsoft.com/office/drawing/2014/main" id="{F9533F21-8A8E-FC22-873B-FB4055E205D6}"/>
            </a:ext>
          </a:extLst>
        </xdr:cNvPr>
        <xdr:cNvSpPr txBox="1"/>
      </xdr:nvSpPr>
      <xdr:spPr>
        <a:xfrm>
          <a:off x="5136931" y="1287517"/>
          <a:ext cx="2601311" cy="4729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rgbClr val="002060"/>
              </a:solidFill>
            </a:rPr>
            <a:t>Attrition Count</a:t>
          </a:r>
        </a:p>
      </xdr:txBody>
    </xdr:sp>
    <xdr:clientData/>
  </xdr:twoCellAnchor>
  <xdr:twoCellAnchor>
    <xdr:from>
      <xdr:col>9</xdr:col>
      <xdr:colOff>157656</xdr:colOff>
      <xdr:row>9</xdr:row>
      <xdr:rowOff>27851</xdr:rowOff>
    </xdr:from>
    <xdr:to>
      <xdr:col>10</xdr:col>
      <xdr:colOff>420414</xdr:colOff>
      <xdr:row>11</xdr:row>
      <xdr:rowOff>106678</xdr:rowOff>
    </xdr:to>
    <xdr:sp macro="" textlink="Sheet1!B8">
      <xdr:nvSpPr>
        <xdr:cNvPr id="50" name="TextBox 49">
          <a:extLst>
            <a:ext uri="{FF2B5EF4-FFF2-40B4-BE49-F238E27FC236}">
              <a16:creationId xmlns:a16="http://schemas.microsoft.com/office/drawing/2014/main" id="{E8FDC308-2DB6-46AB-8793-F16A34554A50}"/>
            </a:ext>
          </a:extLst>
        </xdr:cNvPr>
        <xdr:cNvSpPr txBox="1"/>
      </xdr:nvSpPr>
      <xdr:spPr>
        <a:xfrm>
          <a:off x="6187966" y="1801472"/>
          <a:ext cx="932793" cy="4729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7D1E485-EA88-4389-AD1C-80C173C437F0}" type="TxLink">
            <a:rPr lang="en-US" sz="3200" b="1" i="0" u="none" strike="noStrike">
              <a:solidFill>
                <a:srgbClr val="000000"/>
              </a:solidFill>
              <a:latin typeface="Calibri"/>
              <a:ea typeface="Calibri"/>
              <a:cs typeface="Calibri"/>
            </a:rPr>
            <a:pPr/>
            <a:t>92</a:t>
          </a:fld>
          <a:endParaRPr lang="en-IN" sz="3200" b="1"/>
        </a:p>
      </xdr:txBody>
    </xdr:sp>
    <xdr:clientData/>
  </xdr:twoCellAnchor>
  <xdr:twoCellAnchor>
    <xdr:from>
      <xdr:col>13</xdr:col>
      <xdr:colOff>420414</xdr:colOff>
      <xdr:row>9</xdr:row>
      <xdr:rowOff>35732</xdr:rowOff>
    </xdr:from>
    <xdr:to>
      <xdr:col>15</xdr:col>
      <xdr:colOff>578071</xdr:colOff>
      <xdr:row>11</xdr:row>
      <xdr:rowOff>114559</xdr:rowOff>
    </xdr:to>
    <xdr:sp macro="" textlink="Sheet1!E8">
      <xdr:nvSpPr>
        <xdr:cNvPr id="51" name="TextBox 50">
          <a:extLst>
            <a:ext uri="{FF2B5EF4-FFF2-40B4-BE49-F238E27FC236}">
              <a16:creationId xmlns:a16="http://schemas.microsoft.com/office/drawing/2014/main" id="{CA8F3866-203F-4BFD-A986-DA6B31B30AE3}"/>
            </a:ext>
          </a:extLst>
        </xdr:cNvPr>
        <xdr:cNvSpPr txBox="1"/>
      </xdr:nvSpPr>
      <xdr:spPr>
        <a:xfrm>
          <a:off x="9130862" y="1809353"/>
          <a:ext cx="1497726" cy="4729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8D8871F-9F1D-45D8-A86E-0F89A91239CC}" type="TxLink">
            <a:rPr lang="en-US" sz="3200" b="1" i="0" u="none" strike="noStrike">
              <a:solidFill>
                <a:srgbClr val="000000"/>
              </a:solidFill>
              <a:latin typeface="Calibri"/>
              <a:ea typeface="Calibri"/>
              <a:cs typeface="Calibri"/>
            </a:rPr>
            <a:pPr/>
            <a:t>20.63%</a:t>
          </a:fld>
          <a:endParaRPr lang="en-IN" sz="3200" b="1"/>
        </a:p>
      </xdr:txBody>
    </xdr:sp>
    <xdr:clientData/>
  </xdr:twoCellAnchor>
  <xdr:twoCellAnchor>
    <xdr:from>
      <xdr:col>18</xdr:col>
      <xdr:colOff>664781</xdr:colOff>
      <xdr:row>9</xdr:row>
      <xdr:rowOff>30477</xdr:rowOff>
    </xdr:from>
    <xdr:to>
      <xdr:col>21</xdr:col>
      <xdr:colOff>65690</xdr:colOff>
      <xdr:row>11</xdr:row>
      <xdr:rowOff>109304</xdr:rowOff>
    </xdr:to>
    <xdr:sp macro="" textlink="Sheet1!D8">
      <xdr:nvSpPr>
        <xdr:cNvPr id="52" name="TextBox 51">
          <a:extLst>
            <a:ext uri="{FF2B5EF4-FFF2-40B4-BE49-F238E27FC236}">
              <a16:creationId xmlns:a16="http://schemas.microsoft.com/office/drawing/2014/main" id="{EDAD1A6B-7F77-45AF-A41D-64838310AC1F}"/>
            </a:ext>
          </a:extLst>
        </xdr:cNvPr>
        <xdr:cNvSpPr txBox="1"/>
      </xdr:nvSpPr>
      <xdr:spPr>
        <a:xfrm>
          <a:off x="12725402" y="1804098"/>
          <a:ext cx="1411012" cy="4729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1915405-C224-4FBD-AB5E-F4C7391050E1}" type="TxLink">
            <a:rPr lang="en-US" sz="3200" b="1" i="0" u="none" strike="noStrike">
              <a:solidFill>
                <a:srgbClr val="000000"/>
              </a:solidFill>
              <a:latin typeface="Calibri"/>
              <a:ea typeface="Calibri"/>
              <a:cs typeface="Calibri"/>
            </a:rPr>
            <a:pPr/>
            <a:t>354</a:t>
          </a:fld>
          <a:endParaRPr lang="en-IN" sz="3200" b="1"/>
        </a:p>
      </xdr:txBody>
    </xdr:sp>
    <xdr:clientData/>
  </xdr:twoCellAnchor>
  <xdr:twoCellAnchor>
    <xdr:from>
      <xdr:col>23</xdr:col>
      <xdr:colOff>462456</xdr:colOff>
      <xdr:row>8</xdr:row>
      <xdr:rowOff>143464</xdr:rowOff>
    </xdr:from>
    <xdr:to>
      <xdr:col>25</xdr:col>
      <xdr:colOff>55180</xdr:colOff>
      <xdr:row>11</xdr:row>
      <xdr:rowOff>25222</xdr:rowOff>
    </xdr:to>
    <xdr:sp macro="" textlink="Sheet1!C8">
      <xdr:nvSpPr>
        <xdr:cNvPr id="53" name="TextBox 52">
          <a:extLst>
            <a:ext uri="{FF2B5EF4-FFF2-40B4-BE49-F238E27FC236}">
              <a16:creationId xmlns:a16="http://schemas.microsoft.com/office/drawing/2014/main" id="{F0D6C4AB-4093-4BBA-817B-F38351DF137E}"/>
            </a:ext>
          </a:extLst>
        </xdr:cNvPr>
        <xdr:cNvSpPr txBox="1"/>
      </xdr:nvSpPr>
      <xdr:spPr>
        <a:xfrm>
          <a:off x="15873249" y="1720016"/>
          <a:ext cx="932793" cy="4729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63672CC-86D3-4DCB-AE4A-79D316268CF0}" type="TxLink">
            <a:rPr lang="en-US" sz="3200" b="1" i="0" u="none" strike="noStrike">
              <a:solidFill>
                <a:srgbClr val="000000"/>
              </a:solidFill>
              <a:latin typeface="Calibri"/>
              <a:ea typeface="Calibri"/>
              <a:cs typeface="Calibri"/>
            </a:rPr>
            <a:pPr/>
            <a:t>37</a:t>
          </a:fld>
          <a:endParaRPr lang="en-IN" sz="3200" b="1"/>
        </a:p>
      </xdr:txBody>
    </xdr:sp>
    <xdr:clientData/>
  </xdr:twoCellAnchor>
  <xdr:twoCellAnchor>
    <xdr:from>
      <xdr:col>2</xdr:col>
      <xdr:colOff>444848</xdr:colOff>
      <xdr:row>6</xdr:row>
      <xdr:rowOff>65689</xdr:rowOff>
    </xdr:from>
    <xdr:to>
      <xdr:col>6</xdr:col>
      <xdr:colOff>536813</xdr:colOff>
      <xdr:row>8</xdr:row>
      <xdr:rowOff>138472</xdr:rowOff>
    </xdr:to>
    <xdr:sp macro="" textlink="">
      <xdr:nvSpPr>
        <xdr:cNvPr id="54" name="TextBox 53">
          <a:extLst>
            <a:ext uri="{FF2B5EF4-FFF2-40B4-BE49-F238E27FC236}">
              <a16:creationId xmlns:a16="http://schemas.microsoft.com/office/drawing/2014/main" id="{127B4204-CD6D-4729-AA25-20AD71511174}"/>
            </a:ext>
          </a:extLst>
        </xdr:cNvPr>
        <xdr:cNvSpPr txBox="1"/>
      </xdr:nvSpPr>
      <xdr:spPr>
        <a:xfrm>
          <a:off x="1784917" y="1248103"/>
          <a:ext cx="2772103" cy="466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rgbClr val="002060"/>
              </a:solidFill>
            </a:rPr>
            <a:t>Employee Count</a:t>
          </a:r>
        </a:p>
      </xdr:txBody>
    </xdr:sp>
    <xdr:clientData/>
  </xdr:twoCellAnchor>
  <xdr:twoCellAnchor>
    <xdr:from>
      <xdr:col>12</xdr:col>
      <xdr:colOff>426456</xdr:colOff>
      <xdr:row>6</xdr:row>
      <xdr:rowOff>131379</xdr:rowOff>
    </xdr:from>
    <xdr:to>
      <xdr:col>16</xdr:col>
      <xdr:colOff>52551</xdr:colOff>
      <xdr:row>8</xdr:row>
      <xdr:rowOff>146355</xdr:rowOff>
    </xdr:to>
    <xdr:sp macro="" textlink="">
      <xdr:nvSpPr>
        <xdr:cNvPr id="55" name="TextBox 54">
          <a:extLst>
            <a:ext uri="{FF2B5EF4-FFF2-40B4-BE49-F238E27FC236}">
              <a16:creationId xmlns:a16="http://schemas.microsoft.com/office/drawing/2014/main" id="{72AB8755-C36B-4223-9E1E-048E546E8EFD}"/>
            </a:ext>
          </a:extLst>
        </xdr:cNvPr>
        <xdr:cNvSpPr txBox="1"/>
      </xdr:nvSpPr>
      <xdr:spPr>
        <a:xfrm>
          <a:off x="8466870" y="1313793"/>
          <a:ext cx="2306233" cy="409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rgbClr val="002060"/>
              </a:solidFill>
            </a:rPr>
            <a:t>Attrition</a:t>
          </a:r>
          <a:r>
            <a:rPr lang="en-IN" sz="2800" b="1" baseline="0">
              <a:solidFill>
                <a:srgbClr val="002060"/>
              </a:solidFill>
            </a:rPr>
            <a:t> Rate</a:t>
          </a:r>
          <a:endParaRPr lang="en-IN" sz="2800" b="1">
            <a:solidFill>
              <a:srgbClr val="002060"/>
            </a:solidFill>
          </a:endParaRPr>
        </a:p>
      </xdr:txBody>
    </xdr:sp>
    <xdr:clientData/>
  </xdr:twoCellAnchor>
  <xdr:twoCellAnchor>
    <xdr:from>
      <xdr:col>17</xdr:col>
      <xdr:colOff>78829</xdr:colOff>
      <xdr:row>6</xdr:row>
      <xdr:rowOff>114826</xdr:rowOff>
    </xdr:from>
    <xdr:to>
      <xdr:col>21</xdr:col>
      <xdr:colOff>210207</xdr:colOff>
      <xdr:row>8</xdr:row>
      <xdr:rowOff>193653</xdr:rowOff>
    </xdr:to>
    <xdr:sp macro="" textlink="">
      <xdr:nvSpPr>
        <xdr:cNvPr id="56" name="TextBox 55">
          <a:extLst>
            <a:ext uri="{FF2B5EF4-FFF2-40B4-BE49-F238E27FC236}">
              <a16:creationId xmlns:a16="http://schemas.microsoft.com/office/drawing/2014/main" id="{1C3EB6EE-D850-45FA-9A8E-22A31317B92C}"/>
            </a:ext>
          </a:extLst>
        </xdr:cNvPr>
        <xdr:cNvSpPr txBox="1"/>
      </xdr:nvSpPr>
      <xdr:spPr>
        <a:xfrm>
          <a:off x="11469415" y="1297240"/>
          <a:ext cx="2811516" cy="4729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rgbClr val="002060"/>
              </a:solidFill>
            </a:rPr>
            <a:t>Active</a:t>
          </a:r>
          <a:r>
            <a:rPr lang="en-IN" sz="2800" b="1" baseline="0">
              <a:solidFill>
                <a:srgbClr val="002060"/>
              </a:solidFill>
            </a:rPr>
            <a:t> Employees</a:t>
          </a:r>
          <a:endParaRPr lang="en-IN" sz="2800" b="1">
            <a:solidFill>
              <a:srgbClr val="002060"/>
            </a:solidFill>
          </a:endParaRPr>
        </a:p>
      </xdr:txBody>
    </xdr:sp>
    <xdr:clientData/>
  </xdr:twoCellAnchor>
  <xdr:twoCellAnchor>
    <xdr:from>
      <xdr:col>22</xdr:col>
      <xdr:colOff>289034</xdr:colOff>
      <xdr:row>6</xdr:row>
      <xdr:rowOff>109571</xdr:rowOff>
    </xdr:from>
    <xdr:to>
      <xdr:col>25</xdr:col>
      <xdr:colOff>381000</xdr:colOff>
      <xdr:row>8</xdr:row>
      <xdr:rowOff>188398</xdr:rowOff>
    </xdr:to>
    <xdr:sp macro="" textlink="">
      <xdr:nvSpPr>
        <xdr:cNvPr id="57" name="TextBox 56">
          <a:extLst>
            <a:ext uri="{FF2B5EF4-FFF2-40B4-BE49-F238E27FC236}">
              <a16:creationId xmlns:a16="http://schemas.microsoft.com/office/drawing/2014/main" id="{89CAB348-4761-442C-ACA6-BB4AB8B287D9}"/>
            </a:ext>
          </a:extLst>
        </xdr:cNvPr>
        <xdr:cNvSpPr txBox="1"/>
      </xdr:nvSpPr>
      <xdr:spPr>
        <a:xfrm>
          <a:off x="15029793" y="1291985"/>
          <a:ext cx="2102069" cy="4729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rgbClr val="002060"/>
              </a:solidFill>
            </a:rPr>
            <a:t>Average Age</a:t>
          </a:r>
        </a:p>
      </xdr:txBody>
    </xdr:sp>
    <xdr:clientData/>
  </xdr:twoCellAnchor>
  <xdr:twoCellAnchor>
    <xdr:from>
      <xdr:col>2</xdr:col>
      <xdr:colOff>486104</xdr:colOff>
      <xdr:row>20</xdr:row>
      <xdr:rowOff>118242</xdr:rowOff>
    </xdr:from>
    <xdr:to>
      <xdr:col>5</xdr:col>
      <xdr:colOff>39415</xdr:colOff>
      <xdr:row>32</xdr:row>
      <xdr:rowOff>52551</xdr:rowOff>
    </xdr:to>
    <xdr:graphicFrame macro="">
      <xdr:nvGraphicFramePr>
        <xdr:cNvPr id="3" name="Chart 2">
          <a:extLst>
            <a:ext uri="{FF2B5EF4-FFF2-40B4-BE49-F238E27FC236}">
              <a16:creationId xmlns:a16="http://schemas.microsoft.com/office/drawing/2014/main" id="{4EFEA5A4-E5D4-4578-9FE9-218D1D8642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564931</xdr:colOff>
      <xdr:row>22</xdr:row>
      <xdr:rowOff>105104</xdr:rowOff>
    </xdr:from>
    <xdr:to>
      <xdr:col>10</xdr:col>
      <xdr:colOff>5253</xdr:colOff>
      <xdr:row>30</xdr:row>
      <xdr:rowOff>13138</xdr:rowOff>
    </xdr:to>
    <xdr:graphicFrame macro="">
      <xdr:nvGraphicFramePr>
        <xdr:cNvPr id="4" name="Chart 3">
          <a:extLst>
            <a:ext uri="{FF2B5EF4-FFF2-40B4-BE49-F238E27FC236}">
              <a16:creationId xmlns:a16="http://schemas.microsoft.com/office/drawing/2014/main" id="{83D5018E-5D34-438E-9F84-6C0D472398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486103</xdr:colOff>
      <xdr:row>13</xdr:row>
      <xdr:rowOff>39414</xdr:rowOff>
    </xdr:from>
    <xdr:to>
      <xdr:col>10</xdr:col>
      <xdr:colOff>183931</xdr:colOff>
      <xdr:row>15</xdr:row>
      <xdr:rowOff>144518</xdr:rowOff>
    </xdr:to>
    <xdr:sp macro="" textlink="">
      <xdr:nvSpPr>
        <xdr:cNvPr id="5" name="TextBox 4">
          <a:extLst>
            <a:ext uri="{FF2B5EF4-FFF2-40B4-BE49-F238E27FC236}">
              <a16:creationId xmlns:a16="http://schemas.microsoft.com/office/drawing/2014/main" id="{07E19D4F-DB5B-F732-60AC-A3C805685622}"/>
            </a:ext>
          </a:extLst>
        </xdr:cNvPr>
        <xdr:cNvSpPr txBox="1"/>
      </xdr:nvSpPr>
      <xdr:spPr>
        <a:xfrm>
          <a:off x="1826172" y="2601311"/>
          <a:ext cx="5058104" cy="4992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rgbClr val="990099"/>
              </a:solidFill>
              <a:latin typeface="Arial Rounded MT Bold" panose="020F0704030504030204" pitchFamily="34" charset="0"/>
            </a:rPr>
            <a:t>        </a:t>
          </a:r>
          <a:r>
            <a:rPr lang="en-IN" sz="2000" b="1" u="dbl">
              <a:solidFill>
                <a:srgbClr val="990099"/>
              </a:solidFill>
              <a:latin typeface="Arial Rounded MT Bold" panose="020F0704030504030204" pitchFamily="34" charset="0"/>
            </a:rPr>
            <a:t>Total Employees by Gender</a:t>
          </a:r>
        </a:p>
      </xdr:txBody>
    </xdr:sp>
    <xdr:clientData/>
  </xdr:twoCellAnchor>
  <xdr:twoCellAnchor>
    <xdr:from>
      <xdr:col>11</xdr:col>
      <xdr:colOff>170793</xdr:colOff>
      <xdr:row>13</xdr:row>
      <xdr:rowOff>64639</xdr:rowOff>
    </xdr:from>
    <xdr:to>
      <xdr:col>18</xdr:col>
      <xdr:colOff>538655</xdr:colOff>
      <xdr:row>15</xdr:row>
      <xdr:rowOff>169743</xdr:rowOff>
    </xdr:to>
    <xdr:sp macro="" textlink="">
      <xdr:nvSpPr>
        <xdr:cNvPr id="7" name="TextBox 6">
          <a:extLst>
            <a:ext uri="{FF2B5EF4-FFF2-40B4-BE49-F238E27FC236}">
              <a16:creationId xmlns:a16="http://schemas.microsoft.com/office/drawing/2014/main" id="{3B43BDA7-C7DE-4EA0-8295-7F360C5CBA16}"/>
            </a:ext>
          </a:extLst>
        </xdr:cNvPr>
        <xdr:cNvSpPr txBox="1"/>
      </xdr:nvSpPr>
      <xdr:spPr>
        <a:xfrm>
          <a:off x="7541172" y="2626536"/>
          <a:ext cx="5058104" cy="4992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u="dbl">
              <a:solidFill>
                <a:srgbClr val="990099"/>
              </a:solidFill>
              <a:latin typeface="Arial Rounded MT Bold" panose="020F0704030504030204" pitchFamily="34" charset="0"/>
            </a:rPr>
            <a:t>Attrition by Education field</a:t>
          </a:r>
        </a:p>
      </xdr:txBody>
    </xdr:sp>
    <xdr:clientData/>
  </xdr:twoCellAnchor>
  <xdr:twoCellAnchor>
    <xdr:from>
      <xdr:col>20</xdr:col>
      <xdr:colOff>257502</xdr:colOff>
      <xdr:row>13</xdr:row>
      <xdr:rowOff>72521</xdr:rowOff>
    </xdr:from>
    <xdr:to>
      <xdr:col>25</xdr:col>
      <xdr:colOff>381000</xdr:colOff>
      <xdr:row>15</xdr:row>
      <xdr:rowOff>177625</xdr:rowOff>
    </xdr:to>
    <xdr:sp macro="" textlink="">
      <xdr:nvSpPr>
        <xdr:cNvPr id="8" name="TextBox 7">
          <a:extLst>
            <a:ext uri="{FF2B5EF4-FFF2-40B4-BE49-F238E27FC236}">
              <a16:creationId xmlns:a16="http://schemas.microsoft.com/office/drawing/2014/main" id="{F1282692-063E-4CE3-936D-86110261674C}"/>
            </a:ext>
          </a:extLst>
        </xdr:cNvPr>
        <xdr:cNvSpPr txBox="1"/>
      </xdr:nvSpPr>
      <xdr:spPr>
        <a:xfrm>
          <a:off x="13658192" y="2634418"/>
          <a:ext cx="3473670" cy="4992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u="dbl">
              <a:solidFill>
                <a:srgbClr val="990099"/>
              </a:solidFill>
              <a:latin typeface="Arial Rounded MT Bold" panose="020F0704030504030204" pitchFamily="34" charset="0"/>
            </a:rPr>
            <a:t>Attrition by Job Role</a:t>
          </a:r>
        </a:p>
      </xdr:txBody>
    </xdr:sp>
    <xdr:clientData/>
  </xdr:twoCellAnchor>
  <xdr:oneCellAnchor>
    <xdr:from>
      <xdr:col>6</xdr:col>
      <xdr:colOff>446690</xdr:colOff>
      <xdr:row>6</xdr:row>
      <xdr:rowOff>183932</xdr:rowOff>
    </xdr:from>
    <xdr:ext cx="446689" cy="394138"/>
    <xdr:pic>
      <xdr:nvPicPr>
        <xdr:cNvPr id="27" name="image4.png">
          <a:extLst>
            <a:ext uri="{FF2B5EF4-FFF2-40B4-BE49-F238E27FC236}">
              <a16:creationId xmlns:a16="http://schemas.microsoft.com/office/drawing/2014/main" id="{46F7A71E-318F-494E-8C68-9F8C681B0AE0}"/>
            </a:ext>
          </a:extLst>
        </xdr:cNvPr>
        <xdr:cNvPicPr preferRelativeResize="0"/>
      </xdr:nvPicPr>
      <xdr:blipFill>
        <a:blip xmlns:r="http://schemas.openxmlformats.org/officeDocument/2006/relationships" r:embed="rId8" cstate="print"/>
        <a:stretch>
          <a:fillRect/>
        </a:stretch>
      </xdr:blipFill>
      <xdr:spPr>
        <a:xfrm>
          <a:off x="4466897" y="1366346"/>
          <a:ext cx="446689" cy="394138"/>
        </a:xfrm>
        <a:prstGeom prst="rect">
          <a:avLst/>
        </a:prstGeom>
        <a:solidFill>
          <a:srgbClr val="FFC000"/>
        </a:solidFill>
      </xdr:spPr>
    </xdr:pic>
    <xdr:clientData fLocksWithSheet="0"/>
  </xdr:oneCellAnchor>
  <xdr:oneCellAnchor>
    <xdr:from>
      <xdr:col>11</xdr:col>
      <xdr:colOff>302172</xdr:colOff>
      <xdr:row>6</xdr:row>
      <xdr:rowOff>157655</xdr:rowOff>
    </xdr:from>
    <xdr:ext cx="499242" cy="446690"/>
    <xdr:pic>
      <xdr:nvPicPr>
        <xdr:cNvPr id="28" name="image7.png">
          <a:extLst>
            <a:ext uri="{FF2B5EF4-FFF2-40B4-BE49-F238E27FC236}">
              <a16:creationId xmlns:a16="http://schemas.microsoft.com/office/drawing/2014/main" id="{9B23BD6F-558C-4317-99A2-C40FCDC5FB75}"/>
            </a:ext>
          </a:extLst>
        </xdr:cNvPr>
        <xdr:cNvPicPr preferRelativeResize="0"/>
      </xdr:nvPicPr>
      <xdr:blipFill>
        <a:blip xmlns:r="http://schemas.openxmlformats.org/officeDocument/2006/relationships" r:embed="rId9" cstate="print"/>
        <a:stretch>
          <a:fillRect/>
        </a:stretch>
      </xdr:blipFill>
      <xdr:spPr>
        <a:xfrm>
          <a:off x="7672551" y="1340069"/>
          <a:ext cx="499242" cy="446690"/>
        </a:xfrm>
        <a:prstGeom prst="rect">
          <a:avLst/>
        </a:prstGeom>
        <a:noFill/>
      </xdr:spPr>
    </xdr:pic>
    <xdr:clientData fLocksWithSheet="0"/>
  </xdr:oneCellAnchor>
  <xdr:oneCellAnchor>
    <xdr:from>
      <xdr:col>21</xdr:col>
      <xdr:colOff>118241</xdr:colOff>
      <xdr:row>7</xdr:row>
      <xdr:rowOff>30742</xdr:rowOff>
    </xdr:from>
    <xdr:ext cx="446690" cy="402809"/>
    <xdr:pic>
      <xdr:nvPicPr>
        <xdr:cNvPr id="29" name="image5.png">
          <a:extLst>
            <a:ext uri="{FF2B5EF4-FFF2-40B4-BE49-F238E27FC236}">
              <a16:creationId xmlns:a16="http://schemas.microsoft.com/office/drawing/2014/main" id="{37ECD14E-0B22-49BA-B28D-CC5B1F973DE5}"/>
            </a:ext>
          </a:extLst>
        </xdr:cNvPr>
        <xdr:cNvPicPr preferRelativeResize="0"/>
      </xdr:nvPicPr>
      <xdr:blipFill>
        <a:blip xmlns:r="http://schemas.openxmlformats.org/officeDocument/2006/relationships" r:embed="rId10" cstate="print"/>
        <a:stretch>
          <a:fillRect/>
        </a:stretch>
      </xdr:blipFill>
      <xdr:spPr>
        <a:xfrm>
          <a:off x="14188965" y="1410225"/>
          <a:ext cx="446690" cy="402809"/>
        </a:xfrm>
        <a:prstGeom prst="rect">
          <a:avLst/>
        </a:prstGeom>
        <a:noFill/>
      </xdr:spPr>
    </xdr:pic>
    <xdr:clientData fLocksWithSheet="0"/>
  </xdr:oneCellAnchor>
  <xdr:oneCellAnchor>
    <xdr:from>
      <xdr:col>16</xdr:col>
      <xdr:colOff>39414</xdr:colOff>
      <xdr:row>6</xdr:row>
      <xdr:rowOff>193386</xdr:rowOff>
    </xdr:from>
    <xdr:ext cx="472966" cy="384681"/>
    <xdr:pic>
      <xdr:nvPicPr>
        <xdr:cNvPr id="31" name="image2.png">
          <a:extLst>
            <a:ext uri="{FF2B5EF4-FFF2-40B4-BE49-F238E27FC236}">
              <a16:creationId xmlns:a16="http://schemas.microsoft.com/office/drawing/2014/main" id="{3EBA9EED-E76B-4225-A588-3F179352DD7C}"/>
            </a:ext>
          </a:extLst>
        </xdr:cNvPr>
        <xdr:cNvPicPr preferRelativeResize="0"/>
      </xdr:nvPicPr>
      <xdr:blipFill>
        <a:blip xmlns:r="http://schemas.openxmlformats.org/officeDocument/2006/relationships" r:embed="rId11" cstate="print"/>
        <a:stretch>
          <a:fillRect/>
        </a:stretch>
      </xdr:blipFill>
      <xdr:spPr>
        <a:xfrm>
          <a:off x="10759966" y="1375800"/>
          <a:ext cx="472966" cy="384681"/>
        </a:xfrm>
        <a:prstGeom prst="rect">
          <a:avLst/>
        </a:prstGeom>
        <a:noFill/>
      </xdr:spPr>
    </xdr:pic>
    <xdr:clientData fLocksWithSheet="0"/>
  </xdr:oneCellAnchor>
  <xdr:oneCellAnchor>
    <xdr:from>
      <xdr:col>25</xdr:col>
      <xdr:colOff>394140</xdr:colOff>
      <xdr:row>6</xdr:row>
      <xdr:rowOff>164486</xdr:rowOff>
    </xdr:from>
    <xdr:ext cx="486102" cy="426719"/>
    <xdr:pic>
      <xdr:nvPicPr>
        <xdr:cNvPr id="32" name="image6.png">
          <a:extLst>
            <a:ext uri="{FF2B5EF4-FFF2-40B4-BE49-F238E27FC236}">
              <a16:creationId xmlns:a16="http://schemas.microsoft.com/office/drawing/2014/main" id="{03561B01-861C-48CD-82C5-051B07C5ED38}"/>
            </a:ext>
          </a:extLst>
        </xdr:cNvPr>
        <xdr:cNvPicPr preferRelativeResize="0"/>
      </xdr:nvPicPr>
      <xdr:blipFill>
        <a:blip xmlns:r="http://schemas.openxmlformats.org/officeDocument/2006/relationships" r:embed="rId12" cstate="print"/>
        <a:stretch>
          <a:fillRect/>
        </a:stretch>
      </xdr:blipFill>
      <xdr:spPr>
        <a:xfrm>
          <a:off x="17145002" y="1346900"/>
          <a:ext cx="486102" cy="426719"/>
        </a:xfrm>
        <a:prstGeom prst="rect">
          <a:avLst/>
        </a:prstGeom>
        <a:noFill/>
      </xdr:spPr>
    </xdr:pic>
    <xdr:clientData fLocksWithSheet="0"/>
  </xdr:oneCellAnchor>
  <xdr:twoCellAnchor>
    <xdr:from>
      <xdr:col>3</xdr:col>
      <xdr:colOff>328448</xdr:colOff>
      <xdr:row>25</xdr:row>
      <xdr:rowOff>91967</xdr:rowOff>
    </xdr:from>
    <xdr:to>
      <xdr:col>4</xdr:col>
      <xdr:colOff>249620</xdr:colOff>
      <xdr:row>27</xdr:row>
      <xdr:rowOff>144519</xdr:rowOff>
    </xdr:to>
    <xdr:sp macro="" textlink="Sheet3!B9">
      <xdr:nvSpPr>
        <xdr:cNvPr id="34" name="TextBox 33">
          <a:extLst>
            <a:ext uri="{FF2B5EF4-FFF2-40B4-BE49-F238E27FC236}">
              <a16:creationId xmlns:a16="http://schemas.microsoft.com/office/drawing/2014/main" id="{D8A074D8-77CA-46F5-C556-6685E2FFF46C}"/>
            </a:ext>
          </a:extLst>
        </xdr:cNvPr>
        <xdr:cNvSpPr txBox="1"/>
      </xdr:nvSpPr>
      <xdr:spPr>
        <a:xfrm>
          <a:off x="2338551" y="5018691"/>
          <a:ext cx="591207" cy="446690"/>
        </a:xfrm>
        <a:prstGeom prst="rect">
          <a:avLst/>
        </a:prstGeom>
        <a:solidFill>
          <a:schemeClr val="accent2">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B08588C-4E33-4F26-A3AA-3270B5190A38}" type="TxLink">
            <a:rPr lang="en-US" sz="2000" b="1" i="0" u="none" strike="noStrike">
              <a:solidFill>
                <a:srgbClr val="000000"/>
              </a:solidFill>
              <a:latin typeface="Calibri"/>
              <a:ea typeface="Calibri"/>
              <a:cs typeface="Calibri"/>
            </a:rPr>
            <a:pPr/>
            <a:t>0</a:t>
          </a:fld>
          <a:endParaRPr lang="en-IN" sz="2000" b="1"/>
        </a:p>
      </xdr:txBody>
    </xdr:sp>
    <xdr:clientData/>
  </xdr:twoCellAnchor>
  <xdr:twoCellAnchor editAs="oneCell">
    <xdr:from>
      <xdr:col>6</xdr:col>
      <xdr:colOff>499240</xdr:colOff>
      <xdr:row>24</xdr:row>
      <xdr:rowOff>13138</xdr:rowOff>
    </xdr:from>
    <xdr:to>
      <xdr:col>7</xdr:col>
      <xdr:colOff>559674</xdr:colOff>
      <xdr:row>27</xdr:row>
      <xdr:rowOff>152399</xdr:rowOff>
    </xdr:to>
    <xdr:pic>
      <xdr:nvPicPr>
        <xdr:cNvPr id="58" name="Graphic 57" descr="Male profile with solid fill">
          <a:extLst>
            <a:ext uri="{FF2B5EF4-FFF2-40B4-BE49-F238E27FC236}">
              <a16:creationId xmlns:a16="http://schemas.microsoft.com/office/drawing/2014/main" id="{42AA09F3-950F-148A-5688-BE997B8F86BC}"/>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4519447" y="4742793"/>
          <a:ext cx="730468" cy="730468"/>
        </a:xfrm>
        <a:prstGeom prst="rect">
          <a:avLst/>
        </a:prstGeom>
      </xdr:spPr>
    </xdr:pic>
    <xdr:clientData/>
  </xdr:twoCellAnchor>
  <xdr:twoCellAnchor editAs="oneCell">
    <xdr:from>
      <xdr:col>4</xdr:col>
      <xdr:colOff>604344</xdr:colOff>
      <xdr:row>24</xdr:row>
      <xdr:rowOff>65689</xdr:rowOff>
    </xdr:from>
    <xdr:to>
      <xdr:col>5</xdr:col>
      <xdr:colOff>651641</xdr:colOff>
      <xdr:row>27</xdr:row>
      <xdr:rowOff>191813</xdr:rowOff>
    </xdr:to>
    <xdr:pic>
      <xdr:nvPicPr>
        <xdr:cNvPr id="60" name="Graphic 59" descr="Female Profile with solid fill">
          <a:extLst>
            <a:ext uri="{FF2B5EF4-FFF2-40B4-BE49-F238E27FC236}">
              <a16:creationId xmlns:a16="http://schemas.microsoft.com/office/drawing/2014/main" id="{A6ADA91C-DBAE-B68A-97FC-2B85C094E6B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3284482" y="4795344"/>
          <a:ext cx="717331" cy="717331"/>
        </a:xfrm>
        <a:prstGeom prst="rect">
          <a:avLst/>
        </a:prstGeom>
      </xdr:spPr>
    </xdr:pic>
    <xdr:clientData/>
  </xdr:twoCellAnchor>
  <xdr:twoCellAnchor>
    <xdr:from>
      <xdr:col>10</xdr:col>
      <xdr:colOff>591206</xdr:colOff>
      <xdr:row>16</xdr:row>
      <xdr:rowOff>13138</xdr:rowOff>
    </xdr:from>
    <xdr:to>
      <xdr:col>18</xdr:col>
      <xdr:colOff>236481</xdr:colOff>
      <xdr:row>31</xdr:row>
      <xdr:rowOff>157655</xdr:rowOff>
    </xdr:to>
    <xdr:graphicFrame macro="">
      <xdr:nvGraphicFramePr>
        <xdr:cNvPr id="12" name="Chart 11">
          <a:extLst>
            <a:ext uri="{FF2B5EF4-FFF2-40B4-BE49-F238E27FC236}">
              <a16:creationId xmlns:a16="http://schemas.microsoft.com/office/drawing/2014/main" id="{0A8E2324-BBDF-4D34-ACFC-5917A95A75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18</xdr:col>
      <xdr:colOff>617481</xdr:colOff>
      <xdr:row>16</xdr:row>
      <xdr:rowOff>78828</xdr:rowOff>
    </xdr:from>
    <xdr:to>
      <xdr:col>26</xdr:col>
      <xdr:colOff>144516</xdr:colOff>
      <xdr:row>32</xdr:row>
      <xdr:rowOff>13137</xdr:rowOff>
    </xdr:to>
    <mc:AlternateContent xmlns:mc="http://schemas.openxmlformats.org/markup-compatibility/2006">
      <mc:Choice xmlns:cx1="http://schemas.microsoft.com/office/drawing/2015/9/8/chartex" Requires="cx1">
        <xdr:graphicFrame macro="">
          <xdr:nvGraphicFramePr>
            <xdr:cNvPr id="30" name="Chart 29">
              <a:extLst>
                <a:ext uri="{FF2B5EF4-FFF2-40B4-BE49-F238E27FC236}">
                  <a16:creationId xmlns:a16="http://schemas.microsoft.com/office/drawing/2014/main" id="{79E3EE90-7A69-4229-A839-3F88C3A0973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8"/>
            </a:graphicData>
          </a:graphic>
        </xdr:graphicFrame>
      </mc:Choice>
      <mc:Fallback>
        <xdr:sp macro="" textlink="">
          <xdr:nvSpPr>
            <xdr:cNvPr id="0" name=""/>
            <xdr:cNvSpPr>
              <a:spLocks noTextEdit="1"/>
            </xdr:cNvSpPr>
          </xdr:nvSpPr>
          <xdr:spPr>
            <a:xfrm>
              <a:off x="12687561" y="3248748"/>
              <a:ext cx="4891515" cy="310422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394140</xdr:colOff>
      <xdr:row>32</xdr:row>
      <xdr:rowOff>183931</xdr:rowOff>
    </xdr:from>
    <xdr:to>
      <xdr:col>8</xdr:col>
      <xdr:colOff>328449</xdr:colOff>
      <xdr:row>53</xdr:row>
      <xdr:rowOff>170793</xdr:rowOff>
    </xdr:to>
    <xdr:sp macro="" textlink="">
      <xdr:nvSpPr>
        <xdr:cNvPr id="42" name="Rectangle: Rounded Corners 41">
          <a:extLst>
            <a:ext uri="{FF2B5EF4-FFF2-40B4-BE49-F238E27FC236}">
              <a16:creationId xmlns:a16="http://schemas.microsoft.com/office/drawing/2014/main" id="{906807D1-DB83-FE09-937D-1B392F9E3EE8}"/>
            </a:ext>
          </a:extLst>
        </xdr:cNvPr>
        <xdr:cNvSpPr/>
      </xdr:nvSpPr>
      <xdr:spPr>
        <a:xfrm>
          <a:off x="1734209" y="6490138"/>
          <a:ext cx="3954516" cy="4125310"/>
        </a:xfrm>
        <a:prstGeom prst="roundRect">
          <a:avLst>
            <a:gd name="adj" fmla="val 4902"/>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309489</xdr:colOff>
      <xdr:row>32</xdr:row>
      <xdr:rowOff>182880</xdr:rowOff>
    </xdr:from>
    <xdr:to>
      <xdr:col>20</xdr:col>
      <xdr:colOff>65690</xdr:colOff>
      <xdr:row>53</xdr:row>
      <xdr:rowOff>169742</xdr:rowOff>
    </xdr:to>
    <xdr:sp macro="" textlink="">
      <xdr:nvSpPr>
        <xdr:cNvPr id="44" name="Rectangle: Rounded Corners 43">
          <a:extLst>
            <a:ext uri="{FF2B5EF4-FFF2-40B4-BE49-F238E27FC236}">
              <a16:creationId xmlns:a16="http://schemas.microsoft.com/office/drawing/2014/main" id="{16B94371-1D0A-48CA-B2E3-6136AF4BD213}"/>
            </a:ext>
          </a:extLst>
        </xdr:cNvPr>
        <xdr:cNvSpPr/>
      </xdr:nvSpPr>
      <xdr:spPr>
        <a:xfrm>
          <a:off x="9689972" y="6489087"/>
          <a:ext cx="3776408" cy="4125310"/>
        </a:xfrm>
        <a:prstGeom prst="roundRect">
          <a:avLst>
            <a:gd name="adj" fmla="val 4902"/>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356786</xdr:colOff>
      <xdr:row>32</xdr:row>
      <xdr:rowOff>190763</xdr:rowOff>
    </xdr:from>
    <xdr:to>
      <xdr:col>14</xdr:col>
      <xdr:colOff>275897</xdr:colOff>
      <xdr:row>53</xdr:row>
      <xdr:rowOff>177625</xdr:rowOff>
    </xdr:to>
    <xdr:sp macro="" textlink="">
      <xdr:nvSpPr>
        <xdr:cNvPr id="45" name="Rectangle: Rounded Corners 44">
          <a:extLst>
            <a:ext uri="{FF2B5EF4-FFF2-40B4-BE49-F238E27FC236}">
              <a16:creationId xmlns:a16="http://schemas.microsoft.com/office/drawing/2014/main" id="{96131E59-80B0-4857-8BEA-CA1DC202AC4A}"/>
            </a:ext>
          </a:extLst>
        </xdr:cNvPr>
        <xdr:cNvSpPr/>
      </xdr:nvSpPr>
      <xdr:spPr>
        <a:xfrm>
          <a:off x="5717062" y="6496970"/>
          <a:ext cx="3939318" cy="4125310"/>
        </a:xfrm>
        <a:prstGeom prst="roundRect">
          <a:avLst>
            <a:gd name="adj" fmla="val 4902"/>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112419</xdr:colOff>
      <xdr:row>32</xdr:row>
      <xdr:rowOff>182880</xdr:rowOff>
    </xdr:from>
    <xdr:to>
      <xdr:col>26</xdr:col>
      <xdr:colOff>367862</xdr:colOff>
      <xdr:row>53</xdr:row>
      <xdr:rowOff>169742</xdr:rowOff>
    </xdr:to>
    <xdr:sp macro="" textlink="">
      <xdr:nvSpPr>
        <xdr:cNvPr id="47" name="Rectangle: Rounded Corners 46">
          <a:extLst>
            <a:ext uri="{FF2B5EF4-FFF2-40B4-BE49-F238E27FC236}">
              <a16:creationId xmlns:a16="http://schemas.microsoft.com/office/drawing/2014/main" id="{4DC5974B-B129-4122-80A2-D414BC5FE257}"/>
            </a:ext>
          </a:extLst>
        </xdr:cNvPr>
        <xdr:cNvSpPr/>
      </xdr:nvSpPr>
      <xdr:spPr>
        <a:xfrm>
          <a:off x="13513109" y="6489087"/>
          <a:ext cx="4275650" cy="4125310"/>
        </a:xfrm>
        <a:prstGeom prst="roundRect">
          <a:avLst>
            <a:gd name="adj" fmla="val 4902"/>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538658</xdr:colOff>
      <xdr:row>38</xdr:row>
      <xdr:rowOff>52552</xdr:rowOff>
    </xdr:from>
    <xdr:to>
      <xdr:col>8</xdr:col>
      <xdr:colOff>187481</xdr:colOff>
      <xdr:row>53</xdr:row>
      <xdr:rowOff>13138</xdr:rowOff>
    </xdr:to>
    <xdr:graphicFrame macro="">
      <xdr:nvGraphicFramePr>
        <xdr:cNvPr id="59" name="Chart 58">
          <a:extLst>
            <a:ext uri="{FF2B5EF4-FFF2-40B4-BE49-F238E27FC236}">
              <a16:creationId xmlns:a16="http://schemas.microsoft.com/office/drawing/2014/main" id="{73DFF6EE-F9FA-4108-84C6-D0886CBE3B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9</xdr:col>
      <xdr:colOff>199132</xdr:colOff>
      <xdr:row>39</xdr:row>
      <xdr:rowOff>39413</xdr:rowOff>
    </xdr:from>
    <xdr:to>
      <xdr:col>14</xdr:col>
      <xdr:colOff>197069</xdr:colOff>
      <xdr:row>51</xdr:row>
      <xdr:rowOff>154896</xdr:rowOff>
    </xdr:to>
    <xdr:graphicFrame macro="">
      <xdr:nvGraphicFramePr>
        <xdr:cNvPr id="61" name="Chart 60">
          <a:extLst>
            <a:ext uri="{FF2B5EF4-FFF2-40B4-BE49-F238E27FC236}">
              <a16:creationId xmlns:a16="http://schemas.microsoft.com/office/drawing/2014/main" id="{68CC476D-73B2-439C-A7AD-2AC15CAC4A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14</xdr:col>
      <xdr:colOff>375178</xdr:colOff>
      <xdr:row>38</xdr:row>
      <xdr:rowOff>90913</xdr:rowOff>
    </xdr:from>
    <xdr:to>
      <xdr:col>20</xdr:col>
      <xdr:colOff>39414</xdr:colOff>
      <xdr:row>52</xdr:row>
      <xdr:rowOff>75148</xdr:rowOff>
    </xdr:to>
    <mc:AlternateContent xmlns:mc="http://schemas.openxmlformats.org/markup-compatibility/2006">
      <mc:Choice xmlns:cx2="http://schemas.microsoft.com/office/drawing/2015/10/21/chartex" Requires="cx2">
        <xdr:graphicFrame macro="">
          <xdr:nvGraphicFramePr>
            <xdr:cNvPr id="63" name="Chart 62">
              <a:extLst>
                <a:ext uri="{FF2B5EF4-FFF2-40B4-BE49-F238E27FC236}">
                  <a16:creationId xmlns:a16="http://schemas.microsoft.com/office/drawing/2014/main" id="{2D70B73B-BF3F-44FC-B4C1-268049AB87A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1"/>
            </a:graphicData>
          </a:graphic>
        </xdr:graphicFrame>
      </mc:Choice>
      <mc:Fallback>
        <xdr:sp macro="" textlink="">
          <xdr:nvSpPr>
            <xdr:cNvPr id="0" name=""/>
            <xdr:cNvSpPr>
              <a:spLocks noTextEdit="1"/>
            </xdr:cNvSpPr>
          </xdr:nvSpPr>
          <xdr:spPr>
            <a:xfrm>
              <a:off x="9763018" y="7619473"/>
              <a:ext cx="3687596" cy="275791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249622</xdr:colOff>
      <xdr:row>34</xdr:row>
      <xdr:rowOff>91965</xdr:rowOff>
    </xdr:from>
    <xdr:to>
      <xdr:col>8</xdr:col>
      <xdr:colOff>0</xdr:colOff>
      <xdr:row>37</xdr:row>
      <xdr:rowOff>118241</xdr:rowOff>
    </xdr:to>
    <xdr:sp macro="" textlink="">
      <xdr:nvSpPr>
        <xdr:cNvPr id="64" name="TextBox 63">
          <a:extLst>
            <a:ext uri="{FF2B5EF4-FFF2-40B4-BE49-F238E27FC236}">
              <a16:creationId xmlns:a16="http://schemas.microsoft.com/office/drawing/2014/main" id="{3548872A-EB0F-FF3A-F312-54608C5C69E9}"/>
            </a:ext>
          </a:extLst>
        </xdr:cNvPr>
        <xdr:cNvSpPr txBox="1"/>
      </xdr:nvSpPr>
      <xdr:spPr>
        <a:xfrm>
          <a:off x="2259725" y="6792310"/>
          <a:ext cx="3100551" cy="617483"/>
        </a:xfrm>
        <a:prstGeom prst="rect">
          <a:avLst/>
        </a:prstGeom>
        <a:solidFill>
          <a:schemeClr val="accent2">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u="dbl">
              <a:solidFill>
                <a:srgbClr val="360E9A"/>
              </a:solidFill>
              <a:latin typeface="Arial Rounded MT Bold" panose="020F0704030504030204" pitchFamily="34" charset="0"/>
            </a:rPr>
            <a:t>Attrition by Age Group</a:t>
          </a:r>
        </a:p>
      </xdr:txBody>
    </xdr:sp>
    <xdr:clientData/>
  </xdr:twoCellAnchor>
  <xdr:twoCellAnchor>
    <xdr:from>
      <xdr:col>9</xdr:col>
      <xdr:colOff>133441</xdr:colOff>
      <xdr:row>34</xdr:row>
      <xdr:rowOff>85660</xdr:rowOff>
    </xdr:from>
    <xdr:to>
      <xdr:col>13</xdr:col>
      <xdr:colOff>553854</xdr:colOff>
      <xdr:row>37</xdr:row>
      <xdr:rowOff>111936</xdr:rowOff>
    </xdr:to>
    <xdr:sp macro="" textlink="">
      <xdr:nvSpPr>
        <xdr:cNvPr id="65" name="TextBox 64">
          <a:extLst>
            <a:ext uri="{FF2B5EF4-FFF2-40B4-BE49-F238E27FC236}">
              <a16:creationId xmlns:a16="http://schemas.microsoft.com/office/drawing/2014/main" id="{CDA122D6-F9C2-4983-B064-8D622151ACE7}"/>
            </a:ext>
          </a:extLst>
        </xdr:cNvPr>
        <xdr:cNvSpPr txBox="1"/>
      </xdr:nvSpPr>
      <xdr:spPr>
        <a:xfrm>
          <a:off x="6163751" y="6786005"/>
          <a:ext cx="3100551" cy="617483"/>
        </a:xfrm>
        <a:prstGeom prst="rect">
          <a:avLst/>
        </a:prstGeom>
        <a:solidFill>
          <a:schemeClr val="accent2">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u="dbl">
              <a:solidFill>
                <a:srgbClr val="360E9A"/>
              </a:solidFill>
              <a:latin typeface="Arial Rounded MT Bold" panose="020F0704030504030204" pitchFamily="34" charset="0"/>
            </a:rPr>
            <a:t>Attrition by</a:t>
          </a:r>
          <a:r>
            <a:rPr lang="en-IN" sz="2000" b="1" u="dbl" baseline="0">
              <a:solidFill>
                <a:srgbClr val="360E9A"/>
              </a:solidFill>
              <a:latin typeface="Arial Rounded MT Bold" panose="020F0704030504030204" pitchFamily="34" charset="0"/>
            </a:rPr>
            <a:t> Department</a:t>
          </a:r>
          <a:endParaRPr lang="en-IN" sz="2000" b="1" u="dbl">
            <a:solidFill>
              <a:srgbClr val="360E9A"/>
            </a:solidFill>
            <a:latin typeface="Arial Rounded MT Bold" panose="020F0704030504030204" pitchFamily="34" charset="0"/>
          </a:endParaRPr>
        </a:p>
      </xdr:txBody>
    </xdr:sp>
    <xdr:clientData/>
  </xdr:twoCellAnchor>
  <xdr:twoCellAnchor>
    <xdr:from>
      <xdr:col>14</xdr:col>
      <xdr:colOff>574876</xdr:colOff>
      <xdr:row>34</xdr:row>
      <xdr:rowOff>93542</xdr:rowOff>
    </xdr:from>
    <xdr:to>
      <xdr:col>19</xdr:col>
      <xdr:colOff>604345</xdr:colOff>
      <xdr:row>37</xdr:row>
      <xdr:rowOff>119818</xdr:rowOff>
    </xdr:to>
    <xdr:sp macro="" textlink="">
      <xdr:nvSpPr>
        <xdr:cNvPr id="66" name="TextBox 65">
          <a:extLst>
            <a:ext uri="{FF2B5EF4-FFF2-40B4-BE49-F238E27FC236}">
              <a16:creationId xmlns:a16="http://schemas.microsoft.com/office/drawing/2014/main" id="{FCF2CAB1-D79A-4DFC-B7D7-3F46ED18CEC6}"/>
            </a:ext>
          </a:extLst>
        </xdr:cNvPr>
        <xdr:cNvSpPr txBox="1"/>
      </xdr:nvSpPr>
      <xdr:spPr>
        <a:xfrm>
          <a:off x="9955359" y="6793887"/>
          <a:ext cx="3379641" cy="617483"/>
        </a:xfrm>
        <a:prstGeom prst="rect">
          <a:avLst/>
        </a:prstGeom>
        <a:solidFill>
          <a:schemeClr val="accent2">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u="dbl">
              <a:solidFill>
                <a:srgbClr val="360E9A"/>
              </a:solidFill>
              <a:latin typeface="Arial Rounded MT Bold" panose="020F0704030504030204" pitchFamily="34" charset="0"/>
            </a:rPr>
            <a:t>Attrition by Marital</a:t>
          </a:r>
          <a:r>
            <a:rPr lang="en-IN" sz="2000" b="1" u="dbl" baseline="0">
              <a:solidFill>
                <a:srgbClr val="360E9A"/>
              </a:solidFill>
              <a:latin typeface="Arial Rounded MT Bold" panose="020F0704030504030204" pitchFamily="34" charset="0"/>
            </a:rPr>
            <a:t> Status</a:t>
          </a:r>
        </a:p>
        <a:p>
          <a:endParaRPr lang="en-IN" sz="2000" b="1" u="dbl">
            <a:solidFill>
              <a:srgbClr val="360E9A"/>
            </a:solidFill>
            <a:latin typeface="Arial Rounded MT Bold" panose="020F0704030504030204" pitchFamily="34" charset="0"/>
          </a:endParaRPr>
        </a:p>
      </xdr:txBody>
    </xdr:sp>
    <xdr:clientData/>
  </xdr:twoCellAnchor>
  <xdr:twoCellAnchor editAs="oneCell">
    <xdr:from>
      <xdr:col>20</xdr:col>
      <xdr:colOff>243796</xdr:colOff>
      <xdr:row>37</xdr:row>
      <xdr:rowOff>77775</xdr:rowOff>
    </xdr:from>
    <xdr:to>
      <xdr:col>23</xdr:col>
      <xdr:colOff>349143</xdr:colOff>
      <xdr:row>52</xdr:row>
      <xdr:rowOff>109741</xdr:rowOff>
    </xdr:to>
    <mc:AlternateContent xmlns:mc="http://schemas.openxmlformats.org/markup-compatibility/2006" xmlns:a14="http://schemas.microsoft.com/office/drawing/2010/main">
      <mc:Choice Requires="a14">
        <xdr:graphicFrame macro="">
          <xdr:nvGraphicFramePr>
            <xdr:cNvPr id="68" name="Education Field 2">
              <a:extLst>
                <a:ext uri="{FF2B5EF4-FFF2-40B4-BE49-F238E27FC236}">
                  <a16:creationId xmlns:a16="http://schemas.microsoft.com/office/drawing/2014/main" id="{4F32CB5D-B672-4189-AF8D-053ED6D59EBA}"/>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13625259" y="7642019"/>
              <a:ext cx="2112567" cy="30985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480282</xdr:colOff>
      <xdr:row>37</xdr:row>
      <xdr:rowOff>130328</xdr:rowOff>
    </xdr:from>
    <xdr:to>
      <xdr:col>26</xdr:col>
      <xdr:colOff>298978</xdr:colOff>
      <xdr:row>49</xdr:row>
      <xdr:rowOff>157655</xdr:rowOff>
    </xdr:to>
    <mc:AlternateContent xmlns:mc="http://schemas.openxmlformats.org/markup-compatibility/2006" xmlns:a14="http://schemas.microsoft.com/office/drawing/2010/main">
      <mc:Choice Requires="a14">
        <xdr:graphicFrame macro="">
          <xdr:nvGraphicFramePr>
            <xdr:cNvPr id="69" name="Department 1">
              <a:extLst>
                <a:ext uri="{FF2B5EF4-FFF2-40B4-BE49-F238E27FC236}">
                  <a16:creationId xmlns:a16="http://schemas.microsoft.com/office/drawing/2014/main" id="{D58AA1A5-DF52-4CED-B521-15CF31DBE425}"/>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5868965" y="7694572"/>
              <a:ext cx="1825915" cy="24805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241610</xdr:colOff>
      <xdr:row>34</xdr:row>
      <xdr:rowOff>130098</xdr:rowOff>
    </xdr:from>
    <xdr:to>
      <xdr:col>23</xdr:col>
      <xdr:colOff>278781</xdr:colOff>
      <xdr:row>36</xdr:row>
      <xdr:rowOff>92927</xdr:rowOff>
    </xdr:to>
    <xdr:sp macro="" textlink="">
      <xdr:nvSpPr>
        <xdr:cNvPr id="70" name="TextBox 69">
          <a:extLst>
            <a:ext uri="{FF2B5EF4-FFF2-40B4-BE49-F238E27FC236}">
              <a16:creationId xmlns:a16="http://schemas.microsoft.com/office/drawing/2014/main" id="{286C2537-C9BA-5289-36B6-A4C535988E9F}"/>
            </a:ext>
          </a:extLst>
        </xdr:cNvPr>
        <xdr:cNvSpPr txBox="1"/>
      </xdr:nvSpPr>
      <xdr:spPr>
        <a:xfrm>
          <a:off x="13623073" y="7081025"/>
          <a:ext cx="2044391" cy="371707"/>
        </a:xfrm>
        <a:prstGeom prst="rect">
          <a:avLst/>
        </a:prstGeom>
        <a:solidFill>
          <a:schemeClr val="accent2">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accent2">
                  <a:lumMod val="50000"/>
                </a:schemeClr>
              </a:solidFill>
            </a:rPr>
            <a:t>Education Field</a:t>
          </a:r>
        </a:p>
      </xdr:txBody>
    </xdr:sp>
    <xdr:clientData/>
  </xdr:twoCellAnchor>
  <xdr:twoCellAnchor>
    <xdr:from>
      <xdr:col>23</xdr:col>
      <xdr:colOff>354670</xdr:colOff>
      <xdr:row>34</xdr:row>
      <xdr:rowOff>95721</xdr:rowOff>
    </xdr:from>
    <xdr:to>
      <xdr:col>26</xdr:col>
      <xdr:colOff>92928</xdr:colOff>
      <xdr:row>36</xdr:row>
      <xdr:rowOff>0</xdr:rowOff>
    </xdr:to>
    <xdr:sp macro="" textlink="">
      <xdr:nvSpPr>
        <xdr:cNvPr id="71" name="TextBox 70">
          <a:extLst>
            <a:ext uri="{FF2B5EF4-FFF2-40B4-BE49-F238E27FC236}">
              <a16:creationId xmlns:a16="http://schemas.microsoft.com/office/drawing/2014/main" id="{D041FEC8-7E59-4BB0-9EAE-EA68D59B23B9}"/>
            </a:ext>
          </a:extLst>
        </xdr:cNvPr>
        <xdr:cNvSpPr txBox="1"/>
      </xdr:nvSpPr>
      <xdr:spPr>
        <a:xfrm>
          <a:off x="15743353" y="7046648"/>
          <a:ext cx="1745477" cy="313157"/>
        </a:xfrm>
        <a:prstGeom prst="rect">
          <a:avLst/>
        </a:prstGeom>
        <a:solidFill>
          <a:schemeClr val="accent2">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accent2">
                  <a:lumMod val="50000"/>
                </a:schemeClr>
              </a:solidFill>
            </a:rPr>
            <a:t>Department</a:t>
          </a:r>
        </a:p>
      </xdr:txBody>
    </xdr:sp>
    <xdr:clientData/>
  </xdr:twoCellAnchor>
  <xdr:twoCellAnchor editAs="oneCell">
    <xdr:from>
      <xdr:col>3</xdr:col>
      <xdr:colOff>265960</xdr:colOff>
      <xdr:row>16</xdr:row>
      <xdr:rowOff>100937</xdr:rowOff>
    </xdr:from>
    <xdr:to>
      <xdr:col>9</xdr:col>
      <xdr:colOff>74340</xdr:colOff>
      <xdr:row>21</xdr:row>
      <xdr:rowOff>55756</xdr:rowOff>
    </xdr:to>
    <mc:AlternateContent xmlns:mc="http://schemas.openxmlformats.org/markup-compatibility/2006" xmlns:a14="http://schemas.microsoft.com/office/drawing/2010/main">
      <mc:Choice Requires="a14">
        <xdr:graphicFrame macro="">
          <xdr:nvGraphicFramePr>
            <xdr:cNvPr id="73" name="Gender 2">
              <a:extLst>
                <a:ext uri="{FF2B5EF4-FFF2-40B4-BE49-F238E27FC236}">
                  <a16:creationId xmlns:a16="http://schemas.microsoft.com/office/drawing/2014/main" id="{767B2869-1F5E-4394-BD31-6AAE96F531EB}"/>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2273180" y="3371961"/>
              <a:ext cx="3822819" cy="9770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0.27174</cdr:x>
      <cdr:y>0.38938</cdr:y>
    </cdr:from>
    <cdr:to>
      <cdr:x>0.67029</cdr:x>
      <cdr:y>0.64602</cdr:y>
    </cdr:to>
    <cdr:sp macro="" textlink="Sheet3!$B$10">
      <cdr:nvSpPr>
        <cdr:cNvPr id="2" name="TextBox 1">
          <a:extLst xmlns:a="http://schemas.openxmlformats.org/drawingml/2006/main">
            <a:ext uri="{FF2B5EF4-FFF2-40B4-BE49-F238E27FC236}">
              <a16:creationId xmlns:a16="http://schemas.microsoft.com/office/drawing/2014/main" id="{A6CFC994-5115-D63F-DDED-1E5711693D91}"/>
            </a:ext>
          </a:extLst>
        </cdr:cNvPr>
        <cdr:cNvSpPr txBox="1"/>
      </cdr:nvSpPr>
      <cdr:spPr>
        <a:xfrm xmlns:a="http://schemas.openxmlformats.org/drawingml/2006/main">
          <a:off x="394133" y="578065"/>
          <a:ext cx="578067" cy="38100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66520A66-69FB-4025-BB2B-A94DB254854E}" type="TxLink">
            <a:rPr lang="en-US" sz="2000" b="1" i="0" u="none" strike="noStrike" kern="1200">
              <a:solidFill>
                <a:srgbClr val="000000"/>
              </a:solidFill>
              <a:latin typeface="Calibri"/>
              <a:ea typeface="Calibri"/>
              <a:cs typeface="Calibri"/>
            </a:rPr>
            <a:pPr/>
            <a:t>257</a:t>
          </a:fld>
          <a:endParaRPr lang="en-IN" sz="2000" b="1" kern="1200"/>
        </a:p>
      </cdr:txBody>
    </cdr:sp>
  </cdr:relSizeAnchor>
</c:userShapes>
</file>

<file path=xl/drawings/drawing3.xml><?xml version="1.0" encoding="utf-8"?>
<xdr:wsDr xmlns:xdr="http://schemas.openxmlformats.org/drawingml/2006/spreadsheetDrawing" xmlns:a="http://schemas.openxmlformats.org/drawingml/2006/main">
  <xdr:twoCellAnchor>
    <xdr:from>
      <xdr:col>3</xdr:col>
      <xdr:colOff>53340</xdr:colOff>
      <xdr:row>0</xdr:row>
      <xdr:rowOff>179070</xdr:rowOff>
    </xdr:from>
    <xdr:to>
      <xdr:col>5</xdr:col>
      <xdr:colOff>426720</xdr:colOff>
      <xdr:row>6</xdr:row>
      <xdr:rowOff>182880</xdr:rowOff>
    </xdr:to>
    <xdr:graphicFrame macro="">
      <xdr:nvGraphicFramePr>
        <xdr:cNvPr id="2" name="Chart 1">
          <a:extLst>
            <a:ext uri="{FF2B5EF4-FFF2-40B4-BE49-F238E27FC236}">
              <a16:creationId xmlns:a16="http://schemas.microsoft.com/office/drawing/2014/main" id="{132488B8-6D2A-DFFC-EEB7-87F225674A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1116330</xdr:colOff>
      <xdr:row>10</xdr:row>
      <xdr:rowOff>0</xdr:rowOff>
    </xdr:from>
    <xdr:to>
      <xdr:col>5</xdr:col>
      <xdr:colOff>487680</xdr:colOff>
      <xdr:row>16</xdr:row>
      <xdr:rowOff>114300</xdr:rowOff>
    </xdr:to>
    <xdr:graphicFrame macro="">
      <xdr:nvGraphicFramePr>
        <xdr:cNvPr id="5" name="Chart 4">
          <a:extLst>
            <a:ext uri="{FF2B5EF4-FFF2-40B4-BE49-F238E27FC236}">
              <a16:creationId xmlns:a16="http://schemas.microsoft.com/office/drawing/2014/main" id="{57F4CB5D-45A1-DD57-4158-1F4065790F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22860</xdr:colOff>
      <xdr:row>0</xdr:row>
      <xdr:rowOff>190501</xdr:rowOff>
    </xdr:from>
    <xdr:to>
      <xdr:col>8</xdr:col>
      <xdr:colOff>510540</xdr:colOff>
      <xdr:row>6</xdr:row>
      <xdr:rowOff>114301</xdr:rowOff>
    </xdr:to>
    <mc:AlternateContent xmlns:mc="http://schemas.openxmlformats.org/markup-compatibility/2006">
      <mc:Choice xmlns:a14="http://schemas.microsoft.com/office/drawing/2010/main" Requires="a14">
        <xdr:graphicFrame macro="">
          <xdr:nvGraphicFramePr>
            <xdr:cNvPr id="6" name="Gender">
              <a:extLst>
                <a:ext uri="{FF2B5EF4-FFF2-40B4-BE49-F238E27FC236}">
                  <a16:creationId xmlns:a16="http://schemas.microsoft.com/office/drawing/2014/main" id="{88A14832-EA56-3095-D59C-2EBD1F22CFE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173980" y="190501"/>
              <a:ext cx="1828800" cy="1112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647700</xdr:colOff>
      <xdr:row>7</xdr:row>
      <xdr:rowOff>114300</xdr:rowOff>
    </xdr:from>
    <xdr:to>
      <xdr:col>8</xdr:col>
      <xdr:colOff>464820</xdr:colOff>
      <xdr:row>18</xdr:row>
      <xdr:rowOff>114300</xdr:rowOff>
    </xdr:to>
    <mc:AlternateContent xmlns:mc="http://schemas.openxmlformats.org/markup-compatibility/2006" xmlns:a14="http://schemas.microsoft.com/office/drawing/2010/main">
      <mc:Choice Requires="a14">
        <xdr:graphicFrame macro="">
          <xdr:nvGraphicFramePr>
            <xdr:cNvPr id="7" name="Education Field">
              <a:extLst>
                <a:ext uri="{FF2B5EF4-FFF2-40B4-BE49-F238E27FC236}">
                  <a16:creationId xmlns:a16="http://schemas.microsoft.com/office/drawing/2014/main" id="{13CD3B14-B183-2220-A17E-F906994E84EB}"/>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5128260" y="1501140"/>
              <a:ext cx="1828800" cy="2179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167640</xdr:colOff>
      <xdr:row>8</xdr:row>
      <xdr:rowOff>15241</xdr:rowOff>
    </xdr:from>
    <xdr:to>
      <xdr:col>9</xdr:col>
      <xdr:colOff>655320</xdr:colOff>
      <xdr:row>19</xdr:row>
      <xdr:rowOff>106681</xdr:rowOff>
    </xdr:to>
    <mc:AlternateContent xmlns:mc="http://schemas.openxmlformats.org/markup-compatibility/2006">
      <mc:Choice xmlns:a14="http://schemas.microsoft.com/office/drawing/2010/main" Requires="a14">
        <xdr:graphicFrame macro="">
          <xdr:nvGraphicFramePr>
            <xdr:cNvPr id="2" name="Education Field 1">
              <a:extLst>
                <a:ext uri="{FF2B5EF4-FFF2-40B4-BE49-F238E27FC236}">
                  <a16:creationId xmlns:a16="http://schemas.microsoft.com/office/drawing/2014/main" id="{F6FB0EDA-EC67-F485-2CC7-A48F07BE3E22}"/>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dr:sp macro="" textlink="">
          <xdr:nvSpPr>
            <xdr:cNvPr id="0" name=""/>
            <xdr:cNvSpPr>
              <a:spLocks noTextEdit="1"/>
            </xdr:cNvSpPr>
          </xdr:nvSpPr>
          <xdr:spPr>
            <a:xfrm>
              <a:off x="6073140" y="1600201"/>
              <a:ext cx="1828800" cy="2270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586740</xdr:colOff>
      <xdr:row>2</xdr:row>
      <xdr:rowOff>114300</xdr:rowOff>
    </xdr:from>
    <xdr:to>
      <xdr:col>5</xdr:col>
      <xdr:colOff>198120</xdr:colOff>
      <xdr:row>6</xdr:row>
      <xdr:rowOff>60960</xdr:rowOff>
    </xdr:to>
    <xdr:graphicFrame macro="">
      <xdr:nvGraphicFramePr>
        <xdr:cNvPr id="4" name="Chart 3">
          <a:extLst>
            <a:ext uri="{FF2B5EF4-FFF2-40B4-BE49-F238E27FC236}">
              <a16:creationId xmlns:a16="http://schemas.microsoft.com/office/drawing/2014/main" id="{724090E4-4FF3-9347-399F-DC916856D0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91440</xdr:colOff>
      <xdr:row>2</xdr:row>
      <xdr:rowOff>83820</xdr:rowOff>
    </xdr:from>
    <xdr:to>
      <xdr:col>7</xdr:col>
      <xdr:colOff>411480</xdr:colOff>
      <xdr:row>6</xdr:row>
      <xdr:rowOff>118110</xdr:rowOff>
    </xdr:to>
    <xdr:graphicFrame macro="">
      <xdr:nvGraphicFramePr>
        <xdr:cNvPr id="5" name="Chart 4">
          <a:extLst>
            <a:ext uri="{FF2B5EF4-FFF2-40B4-BE49-F238E27FC236}">
              <a16:creationId xmlns:a16="http://schemas.microsoft.com/office/drawing/2014/main" id="{0D0944E9-79A2-4E29-9B39-7EDFDCAFA5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541020</xdr:colOff>
      <xdr:row>9</xdr:row>
      <xdr:rowOff>7620</xdr:rowOff>
    </xdr:from>
    <xdr:to>
      <xdr:col>6</xdr:col>
      <xdr:colOff>358140</xdr:colOff>
      <xdr:row>14</xdr:row>
      <xdr:rowOff>68579</xdr:rowOff>
    </xdr:to>
    <mc:AlternateContent xmlns:mc="http://schemas.openxmlformats.org/markup-compatibility/2006">
      <mc:Choice xmlns:a14="http://schemas.microsoft.com/office/drawing/2010/main" Requires="a14">
        <xdr:graphicFrame macro="">
          <xdr:nvGraphicFramePr>
            <xdr:cNvPr id="6" name="Gender 1">
              <a:extLst>
                <a:ext uri="{FF2B5EF4-FFF2-40B4-BE49-F238E27FC236}">
                  <a16:creationId xmlns:a16="http://schemas.microsoft.com/office/drawing/2014/main" id="{53BE72AC-6338-9631-9FFE-CBF87B0B510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3764280" y="1790700"/>
              <a:ext cx="1828800" cy="10515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217170</xdr:colOff>
      <xdr:row>1</xdr:row>
      <xdr:rowOff>118110</xdr:rowOff>
    </xdr:from>
    <xdr:to>
      <xdr:col>8</xdr:col>
      <xdr:colOff>266700</xdr:colOff>
      <xdr:row>11</xdr:row>
      <xdr:rowOff>190500</xdr:rowOff>
    </xdr:to>
    <xdr:graphicFrame macro="">
      <xdr:nvGraphicFramePr>
        <xdr:cNvPr id="2" name="Chart 1">
          <a:extLst>
            <a:ext uri="{FF2B5EF4-FFF2-40B4-BE49-F238E27FC236}">
              <a16:creationId xmlns:a16="http://schemas.microsoft.com/office/drawing/2014/main" id="{6218D95C-3272-35AD-E634-BD5817139F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655320</xdr:colOff>
      <xdr:row>1</xdr:row>
      <xdr:rowOff>3810</xdr:rowOff>
    </xdr:from>
    <xdr:to>
      <xdr:col>7</xdr:col>
      <xdr:colOff>198120</xdr:colOff>
      <xdr:row>9</xdr:row>
      <xdr:rowOff>182880</xdr:rowOff>
    </xdr:to>
    <xdr:graphicFrame macro="">
      <xdr:nvGraphicFramePr>
        <xdr:cNvPr id="2" name="Chart 1">
          <a:extLst>
            <a:ext uri="{FF2B5EF4-FFF2-40B4-BE49-F238E27FC236}">
              <a16:creationId xmlns:a16="http://schemas.microsoft.com/office/drawing/2014/main" id="{AF8FD600-07FD-2475-B34D-E7EC5F80DB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579120</xdr:colOff>
      <xdr:row>1</xdr:row>
      <xdr:rowOff>160021</xdr:rowOff>
    </xdr:from>
    <xdr:to>
      <xdr:col>10</xdr:col>
      <xdr:colOff>396240</xdr:colOff>
      <xdr:row>9</xdr:row>
      <xdr:rowOff>167641</xdr:rowOff>
    </xdr:to>
    <mc:AlternateContent xmlns:mc="http://schemas.openxmlformats.org/markup-compatibility/2006">
      <mc:Choice xmlns:a14="http://schemas.microsoft.com/office/drawing/2010/main" Requires="a14">
        <xdr:graphicFrame macro="">
          <xdr:nvGraphicFramePr>
            <xdr:cNvPr id="3" name="Department">
              <a:extLst>
                <a:ext uri="{FF2B5EF4-FFF2-40B4-BE49-F238E27FC236}">
                  <a16:creationId xmlns:a16="http://schemas.microsoft.com/office/drawing/2014/main" id="{B5D6141B-F17B-B312-C553-2DD144A1C91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6598920" y="358141"/>
              <a:ext cx="1828800" cy="1592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5</xdr:col>
      <xdr:colOff>491490</xdr:colOff>
      <xdr:row>1</xdr:row>
      <xdr:rowOff>64770</xdr:rowOff>
    </xdr:from>
    <xdr:to>
      <xdr:col>12</xdr:col>
      <xdr:colOff>369570</xdr:colOff>
      <xdr:row>15</xdr:row>
      <xdr:rowOff>34290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E4F1E780-FB52-BB58-F307-47FEC18C722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747510" y="2628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3</xdr:col>
      <xdr:colOff>361950</xdr:colOff>
      <xdr:row>0</xdr:row>
      <xdr:rowOff>148590</xdr:rowOff>
    </xdr:from>
    <xdr:to>
      <xdr:col>9</xdr:col>
      <xdr:colOff>7620</xdr:colOff>
      <xdr:row>13</xdr:row>
      <xdr:rowOff>175260</xdr:rowOff>
    </xdr:to>
    <xdr:graphicFrame macro="">
      <xdr:nvGraphicFramePr>
        <xdr:cNvPr id="2" name="Chart 1">
          <a:extLst>
            <a:ext uri="{FF2B5EF4-FFF2-40B4-BE49-F238E27FC236}">
              <a16:creationId xmlns:a16="http://schemas.microsoft.com/office/drawing/2014/main" id="{C484AC3F-0B7C-EC63-E052-88DE513438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217170</xdr:colOff>
      <xdr:row>0</xdr:row>
      <xdr:rowOff>0</xdr:rowOff>
    </xdr:from>
    <xdr:to>
      <xdr:col>12</xdr:col>
      <xdr:colOff>95250</xdr:colOff>
      <xdr:row>13</xdr:row>
      <xdr:rowOff>167640</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5F48B75E-49CA-2AD2-ACDA-3C47AF6EBC2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377690" y="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2</xdr:col>
      <xdr:colOff>491490</xdr:colOff>
      <xdr:row>5</xdr:row>
      <xdr:rowOff>140970</xdr:rowOff>
    </xdr:from>
    <xdr:to>
      <xdr:col>9</xdr:col>
      <xdr:colOff>369570</xdr:colOff>
      <xdr:row>19</xdr:row>
      <xdr:rowOff>110490</xdr:rowOff>
    </xdr:to>
    <xdr:graphicFrame macro="">
      <xdr:nvGraphicFramePr>
        <xdr:cNvPr id="2" name="Chart 1">
          <a:extLst>
            <a:ext uri="{FF2B5EF4-FFF2-40B4-BE49-F238E27FC236}">
              <a16:creationId xmlns:a16="http://schemas.microsoft.com/office/drawing/2014/main" id="{CB17F4F8-F627-4561-7C8B-0993287C23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lai vani" refreshedDate="46096.790230787039" createdVersion="8" refreshedVersion="8" minRefreshableVersion="3" recordCount="1471" xr:uid="{A1238991-C25F-491F-8031-AEFAE77E7ADF}">
  <cacheSource type="worksheet">
    <worksheetSource ref="A1:AR1048576" sheet="Data"/>
  </cacheSource>
  <cacheFields count="44">
    <cacheField name="Attrition" numFmtId="0">
      <sharedItems containsBlank="1" count="3">
        <s v="Yes"/>
        <s v="No"/>
        <m/>
      </sharedItems>
    </cacheField>
    <cacheField name="Business Travel" numFmtId="0">
      <sharedItems containsBlank="1"/>
    </cacheField>
    <cacheField name="CF_age band" numFmtId="0">
      <sharedItems containsBlank="1" count="6">
        <s v="35 - 44"/>
        <s v="45 - 54"/>
        <s v="25 - 34"/>
        <s v="Over 55"/>
        <s v="Under 25"/>
        <m/>
      </sharedItems>
    </cacheField>
    <cacheField name="CF_attrition label" numFmtId="0">
      <sharedItems containsBlank="1"/>
    </cacheField>
    <cacheField name="Department" numFmtId="0">
      <sharedItems containsBlank="1" count="4">
        <s v="Sales"/>
        <s v="R&amp;D"/>
        <s v="HR"/>
        <m/>
      </sharedItems>
    </cacheField>
    <cacheField name="Education Field" numFmtId="0">
      <sharedItems containsBlank="1" count="7">
        <s v="Life Sciences"/>
        <s v="Other"/>
        <s v="Medical"/>
        <s v="Marketing"/>
        <s v="Technical Degree"/>
        <s v="Human Resources"/>
        <m/>
      </sharedItems>
    </cacheField>
    <cacheField name="emp no" numFmtId="0">
      <sharedItems containsBlank="1"/>
    </cacheField>
    <cacheField name="Employee Number" numFmtId="0">
      <sharedItems containsString="0" containsBlank="1" containsNumber="1" containsInteger="1" minValue="1" maxValue="2068"/>
    </cacheField>
    <cacheField name="Gender" numFmtId="0">
      <sharedItems containsBlank="1" count="3">
        <s v="Female"/>
        <s v="Male"/>
        <m/>
      </sharedItems>
    </cacheField>
    <cacheField name="Job Role" numFmtId="0">
      <sharedItems containsBlank="1" count="10">
        <s v="Sales Executive"/>
        <s v="Research Scientist"/>
        <s v="Laboratory Technician"/>
        <s v="Manufacturing Director"/>
        <s v="Healthcare Representative"/>
        <s v="Manager"/>
        <s v="Sales Representative"/>
        <s v="Research Director"/>
        <s v="Human Resources"/>
        <m/>
      </sharedItems>
    </cacheField>
    <cacheField name="Marital Status" numFmtId="0">
      <sharedItems containsBlank="1" count="4">
        <s v="Single"/>
        <s v="Married"/>
        <s v="Divorced"/>
        <m/>
      </sharedItems>
    </cacheField>
    <cacheField name="Over Time" numFmtId="0">
      <sharedItems containsBlank="1"/>
    </cacheField>
    <cacheField name="Over18" numFmtId="0">
      <sharedItems containsBlank="1"/>
    </cacheField>
    <cacheField name="Training Times Last Year" numFmtId="0">
      <sharedItems containsString="0" containsBlank="1" containsNumber="1" containsInteger="1" minValue="0" maxValue="6"/>
    </cacheField>
    <cacheField name="-2" numFmtId="0">
      <sharedItems containsString="0" containsBlank="1" containsNumber="1" containsInteger="1" minValue="-2" maxValue="-2"/>
    </cacheField>
    <cacheField name="0" numFmtId="0">
      <sharedItems containsString="0" containsBlank="1" containsNumber="1" containsInteger="1" minValue="0" maxValue="0"/>
    </cacheField>
    <cacheField name="Age" numFmtId="0">
      <sharedItems containsString="0" containsBlank="1" containsNumber="1" containsInteger="1" minValue="18" maxValue="60"/>
    </cacheField>
    <cacheField name="CF_attrition count" numFmtId="0">
      <sharedItems containsString="0" containsBlank="1"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tring="0" containsBlank="1" containsNumber="1" containsInteger="1" minValue="0" maxValue="1"/>
    </cacheField>
    <cacheField name="CF_current Employee" numFmtId="0">
      <sharedItems containsString="0" containsBlank="1" containsNumber="1" containsInteger="1" minValue="0" maxValue="1"/>
    </cacheField>
    <cacheField name="Daily Rate" numFmtId="0">
      <sharedItems containsString="0" containsBlank="1" containsNumber="1" containsInteger="1" minValue="102" maxValue="1499"/>
    </cacheField>
    <cacheField name="Distance From Home" numFmtId="0">
      <sharedItems containsString="0" containsBlank="1" containsNumber="1" containsInteger="1" minValue="1" maxValue="29"/>
    </cacheField>
    <cacheField name="Education" numFmtId="0">
      <sharedItems containsBlank="1" count="6">
        <s v="Associates Degree"/>
        <s v="High School"/>
        <s v="Master's Degree"/>
        <s v="Bachelor's Degree"/>
        <s v="Doctoral Degree"/>
        <m/>
      </sharedItems>
    </cacheField>
    <cacheField name="Employee Count" numFmtId="0">
      <sharedItems containsString="0" containsBlank="1" containsNumber="1" containsInteger="1" minValue="1" maxValue="1"/>
    </cacheField>
    <cacheField name="Environment Satisfaction" numFmtId="0">
      <sharedItems containsString="0" containsBlank="1" containsNumber="1" containsInteger="1" minValue="1" maxValue="4"/>
    </cacheField>
    <cacheField name="Hourly Rate" numFmtId="0">
      <sharedItems containsString="0" containsBlank="1" containsNumber="1" containsInteger="1" minValue="30" maxValue="100"/>
    </cacheField>
    <cacheField name="Job Involvement" numFmtId="0">
      <sharedItems containsString="0" containsBlank="1" containsNumber="1" containsInteger="1" minValue="1" maxValue="4"/>
    </cacheField>
    <cacheField name="Job Level" numFmtId="0">
      <sharedItems containsString="0" containsBlank="1" containsNumber="1" containsInteger="1" minValue="1" maxValue="5"/>
    </cacheField>
    <cacheField name="Job Satisfaction" numFmtId="0">
      <sharedItems containsString="0" containsBlank="1" containsNumber="1" containsInteger="1" minValue="1" maxValue="4"/>
    </cacheField>
    <cacheField name="Monthly Income" numFmtId="0">
      <sharedItems containsString="0" containsBlank="1" containsNumber="1" containsInteger="1" minValue="1009" maxValue="19999"/>
    </cacheField>
    <cacheField name="Monthly Rate" numFmtId="0">
      <sharedItems containsString="0" containsBlank="1" containsNumber="1" containsInteger="1" minValue="2094" maxValue="26999"/>
    </cacheField>
    <cacheField name="Num Companies Worked" numFmtId="0">
      <sharedItems containsString="0" containsBlank="1" containsNumber="1" containsInteger="1" minValue="0" maxValue="9"/>
    </cacheField>
    <cacheField name="Percent Salary Hike" numFmtId="0">
      <sharedItems containsString="0" containsBlank="1" containsNumber="1" containsInteger="1" minValue="11" maxValue="25"/>
    </cacheField>
    <cacheField name="Performance Rating" numFmtId="0">
      <sharedItems containsString="0" containsBlank="1" containsNumber="1" containsInteger="1" minValue="3" maxValue="4"/>
    </cacheField>
    <cacheField name="Relationship Satisfaction" numFmtId="0">
      <sharedItems containsString="0" containsBlank="1" containsNumber="1" containsInteger="1" minValue="1" maxValue="4"/>
    </cacheField>
    <cacheField name="Standard Hours" numFmtId="0">
      <sharedItems containsString="0" containsBlank="1" containsNumber="1" containsInteger="1" minValue="80" maxValue="80"/>
    </cacheField>
    <cacheField name="Stock Option Level" numFmtId="0">
      <sharedItems containsString="0" containsBlank="1" containsNumber="1" containsInteger="1" minValue="0" maxValue="3"/>
    </cacheField>
    <cacheField name="Total Working Years" numFmtId="0">
      <sharedItems containsString="0" containsBlank="1" containsNumber="1" containsInteger="1" minValue="0" maxValue="40"/>
    </cacheField>
    <cacheField name="Work Life Balance" numFmtId="0">
      <sharedItems containsString="0" containsBlank="1" containsNumber="1" containsInteger="1" minValue="1" maxValue="4"/>
    </cacheField>
    <cacheField name="Years At Company" numFmtId="0">
      <sharedItems containsString="0" containsBlank="1" containsNumber="1" containsInteger="1" minValue="0" maxValue="40"/>
    </cacheField>
    <cacheField name="Years In Current Role" numFmtId="0">
      <sharedItems containsString="0" containsBlank="1" containsNumber="1" containsInteger="1" minValue="0" maxValue="18"/>
    </cacheField>
    <cacheField name="Years Since Last Promotion" numFmtId="0">
      <sharedItems containsString="0" containsBlank="1" containsNumber="1" containsInteger="1" minValue="0" maxValue="15"/>
    </cacheField>
    <cacheField name="Years With Curr Manager" numFmtId="0">
      <sharedItems containsString="0" containsBlank="1" containsNumber="1" containsInteger="1" minValue="0" maxValue="17"/>
    </cacheField>
  </cacheFields>
  <extLst>
    <ext xmlns:x14="http://schemas.microsoft.com/office/spreadsheetml/2009/9/main" uri="{725AE2AE-9491-48be-B2B4-4EB974FC3084}">
      <x14:pivotCacheDefinition pivotCacheId="18020583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1">
  <r>
    <x v="0"/>
    <s v="Travel_Rarely"/>
    <x v="0"/>
    <s v="Ex-Employees"/>
    <x v="0"/>
    <x v="0"/>
    <s v="STAFF-1"/>
    <n v="1"/>
    <x v="0"/>
    <x v="0"/>
    <x v="0"/>
    <s v="Yes"/>
    <s v="Y"/>
    <n v="0"/>
    <n v="-2"/>
    <n v="0"/>
    <n v="41"/>
    <n v="1"/>
    <n v="1"/>
    <n v="1"/>
    <n v="0"/>
    <n v="1102"/>
    <n v="1"/>
    <x v="0"/>
    <n v="1"/>
    <n v="2"/>
    <n v="94"/>
    <n v="3"/>
    <n v="2"/>
    <n v="4"/>
    <n v="5993"/>
    <n v="19479"/>
    <n v="8"/>
    <n v="11"/>
    <n v="3"/>
    <n v="1"/>
    <n v="80"/>
    <n v="0"/>
    <n v="8"/>
    <n v="1"/>
    <n v="6"/>
    <n v="4"/>
    <n v="0"/>
    <n v="5"/>
  </r>
  <r>
    <x v="1"/>
    <s v="Travel_Frequently"/>
    <x v="1"/>
    <s v="Current Employees"/>
    <x v="1"/>
    <x v="0"/>
    <s v="STAFF-2"/>
    <n v="2"/>
    <x v="1"/>
    <x v="1"/>
    <x v="1"/>
    <s v="No"/>
    <s v="Y"/>
    <n v="3"/>
    <n v="-2"/>
    <n v="0"/>
    <n v="49"/>
    <n v="0"/>
    <m/>
    <n v="0"/>
    <n v="1"/>
    <n v="279"/>
    <n v="8"/>
    <x v="1"/>
    <n v="1"/>
    <n v="3"/>
    <n v="61"/>
    <n v="2"/>
    <n v="2"/>
    <n v="2"/>
    <n v="5130"/>
    <n v="24907"/>
    <n v="1"/>
    <n v="23"/>
    <n v="4"/>
    <n v="4"/>
    <n v="80"/>
    <n v="1"/>
    <n v="10"/>
    <n v="3"/>
    <n v="10"/>
    <n v="7"/>
    <n v="1"/>
    <n v="7"/>
  </r>
  <r>
    <x v="0"/>
    <s v="Travel_Rarely"/>
    <x v="0"/>
    <s v="Ex-Employees"/>
    <x v="1"/>
    <x v="1"/>
    <s v="STAFF-4"/>
    <n v="4"/>
    <x v="1"/>
    <x v="2"/>
    <x v="0"/>
    <s v="Yes"/>
    <s v="Y"/>
    <n v="3"/>
    <n v="-2"/>
    <n v="0"/>
    <n v="37"/>
    <n v="1"/>
    <n v="1"/>
    <n v="1"/>
    <n v="0"/>
    <n v="1373"/>
    <n v="2"/>
    <x v="0"/>
    <n v="1"/>
    <n v="4"/>
    <n v="92"/>
    <n v="2"/>
    <n v="1"/>
    <n v="3"/>
    <n v="2090"/>
    <n v="2396"/>
    <n v="6"/>
    <n v="15"/>
    <n v="3"/>
    <n v="2"/>
    <n v="80"/>
    <n v="0"/>
    <n v="7"/>
    <n v="3"/>
    <n v="0"/>
    <n v="0"/>
    <n v="0"/>
    <n v="0"/>
  </r>
  <r>
    <x v="1"/>
    <s v="Travel_Frequently"/>
    <x v="2"/>
    <s v="Current Employees"/>
    <x v="1"/>
    <x v="0"/>
    <s v="STAFF-5"/>
    <n v="5"/>
    <x v="0"/>
    <x v="1"/>
    <x v="1"/>
    <s v="Yes"/>
    <s v="Y"/>
    <n v="3"/>
    <n v="-2"/>
    <n v="0"/>
    <n v="33"/>
    <n v="0"/>
    <m/>
    <n v="0"/>
    <n v="1"/>
    <n v="1392"/>
    <n v="3"/>
    <x v="2"/>
    <n v="1"/>
    <n v="4"/>
    <n v="56"/>
    <n v="3"/>
    <n v="1"/>
    <n v="3"/>
    <n v="2909"/>
    <n v="23159"/>
    <n v="1"/>
    <n v="11"/>
    <n v="3"/>
    <n v="3"/>
    <n v="80"/>
    <n v="0"/>
    <n v="8"/>
    <n v="3"/>
    <n v="8"/>
    <n v="7"/>
    <n v="3"/>
    <n v="0"/>
  </r>
  <r>
    <x v="1"/>
    <s v="Travel_Rarely"/>
    <x v="2"/>
    <s v="Current Employees"/>
    <x v="1"/>
    <x v="2"/>
    <s v="STAFF-7"/>
    <n v="7"/>
    <x v="1"/>
    <x v="2"/>
    <x v="1"/>
    <s v="No"/>
    <s v="Y"/>
    <n v="3"/>
    <n v="-2"/>
    <n v="0"/>
    <n v="27"/>
    <n v="0"/>
    <m/>
    <n v="0"/>
    <n v="1"/>
    <n v="591"/>
    <n v="2"/>
    <x v="1"/>
    <n v="1"/>
    <n v="1"/>
    <n v="40"/>
    <n v="3"/>
    <n v="1"/>
    <n v="2"/>
    <n v="3468"/>
    <n v="16632"/>
    <n v="9"/>
    <n v="12"/>
    <n v="3"/>
    <n v="4"/>
    <n v="80"/>
    <n v="1"/>
    <n v="6"/>
    <n v="3"/>
    <n v="2"/>
    <n v="2"/>
    <n v="2"/>
    <n v="2"/>
  </r>
  <r>
    <x v="1"/>
    <s v="Travel_Frequently"/>
    <x v="2"/>
    <s v="Current Employees"/>
    <x v="1"/>
    <x v="0"/>
    <s v="STAFF-8"/>
    <n v="8"/>
    <x v="1"/>
    <x v="2"/>
    <x v="0"/>
    <s v="No"/>
    <s v="Y"/>
    <n v="2"/>
    <n v="-2"/>
    <n v="0"/>
    <n v="32"/>
    <n v="0"/>
    <m/>
    <n v="0"/>
    <n v="1"/>
    <n v="1005"/>
    <n v="2"/>
    <x v="0"/>
    <n v="1"/>
    <n v="4"/>
    <n v="79"/>
    <n v="3"/>
    <n v="1"/>
    <n v="2"/>
    <n v="3068"/>
    <n v="11864"/>
    <n v="0"/>
    <n v="13"/>
    <n v="3"/>
    <n v="3"/>
    <n v="80"/>
    <n v="0"/>
    <n v="8"/>
    <n v="2"/>
    <n v="7"/>
    <n v="7"/>
    <n v="3"/>
    <n v="6"/>
  </r>
  <r>
    <x v="1"/>
    <s v="Travel_Rarely"/>
    <x v="3"/>
    <s v="Current Employees"/>
    <x v="1"/>
    <x v="2"/>
    <s v="STAFF-10"/>
    <n v="10"/>
    <x v="0"/>
    <x v="2"/>
    <x v="1"/>
    <s v="Yes"/>
    <s v="Y"/>
    <n v="3"/>
    <n v="-2"/>
    <n v="0"/>
    <n v="59"/>
    <n v="0"/>
    <m/>
    <n v="0"/>
    <n v="1"/>
    <n v="1324"/>
    <n v="3"/>
    <x v="3"/>
    <n v="1"/>
    <n v="3"/>
    <n v="81"/>
    <n v="4"/>
    <n v="1"/>
    <n v="4"/>
    <n v="2670"/>
    <n v="9964"/>
    <n v="4"/>
    <n v="20"/>
    <n v="4"/>
    <n v="1"/>
    <n v="80"/>
    <n v="3"/>
    <n v="12"/>
    <n v="2"/>
    <n v="1"/>
    <n v="0"/>
    <n v="0"/>
    <n v="0"/>
  </r>
  <r>
    <x v="1"/>
    <s v="Travel_Rarely"/>
    <x v="2"/>
    <s v="Current Employees"/>
    <x v="1"/>
    <x v="0"/>
    <s v="STAFF-11"/>
    <n v="11"/>
    <x v="1"/>
    <x v="2"/>
    <x v="2"/>
    <s v="No"/>
    <s v="Y"/>
    <n v="2"/>
    <n v="-2"/>
    <n v="0"/>
    <n v="30"/>
    <n v="0"/>
    <m/>
    <n v="0"/>
    <n v="1"/>
    <n v="1358"/>
    <n v="24"/>
    <x v="1"/>
    <n v="1"/>
    <n v="4"/>
    <n v="67"/>
    <n v="3"/>
    <n v="1"/>
    <n v="2"/>
    <n v="2693"/>
    <n v="13335"/>
    <n v="1"/>
    <n v="22"/>
    <n v="4"/>
    <n v="2"/>
    <n v="80"/>
    <n v="1"/>
    <n v="1"/>
    <n v="3"/>
    <n v="1"/>
    <n v="0"/>
    <n v="0"/>
    <n v="0"/>
  </r>
  <r>
    <x v="1"/>
    <s v="Travel_Frequently"/>
    <x v="0"/>
    <s v="Current Employees"/>
    <x v="1"/>
    <x v="0"/>
    <s v="STAFF-12"/>
    <n v="12"/>
    <x v="1"/>
    <x v="3"/>
    <x v="0"/>
    <s v="No"/>
    <s v="Y"/>
    <n v="2"/>
    <n v="-2"/>
    <n v="0"/>
    <n v="38"/>
    <n v="0"/>
    <m/>
    <n v="0"/>
    <n v="1"/>
    <n v="216"/>
    <n v="23"/>
    <x v="3"/>
    <n v="1"/>
    <n v="4"/>
    <n v="44"/>
    <n v="2"/>
    <n v="3"/>
    <n v="2"/>
    <n v="9526"/>
    <n v="8787"/>
    <n v="0"/>
    <n v="21"/>
    <n v="4"/>
    <n v="2"/>
    <n v="80"/>
    <n v="0"/>
    <n v="10"/>
    <n v="3"/>
    <n v="9"/>
    <n v="7"/>
    <n v="1"/>
    <n v="8"/>
  </r>
  <r>
    <x v="1"/>
    <s v="Travel_Rarely"/>
    <x v="0"/>
    <s v="Current Employees"/>
    <x v="1"/>
    <x v="2"/>
    <s v="STAFF-13"/>
    <n v="13"/>
    <x v="1"/>
    <x v="4"/>
    <x v="1"/>
    <s v="No"/>
    <s v="Y"/>
    <n v="3"/>
    <n v="-2"/>
    <n v="0"/>
    <n v="36"/>
    <n v="0"/>
    <m/>
    <n v="0"/>
    <n v="1"/>
    <n v="1299"/>
    <n v="27"/>
    <x v="3"/>
    <n v="1"/>
    <n v="3"/>
    <n v="94"/>
    <n v="3"/>
    <n v="2"/>
    <n v="3"/>
    <n v="5237"/>
    <n v="16577"/>
    <n v="6"/>
    <n v="13"/>
    <n v="3"/>
    <n v="2"/>
    <n v="80"/>
    <n v="2"/>
    <n v="17"/>
    <n v="2"/>
    <n v="7"/>
    <n v="7"/>
    <n v="7"/>
    <n v="7"/>
  </r>
  <r>
    <x v="1"/>
    <s v="Travel_Rarely"/>
    <x v="0"/>
    <s v="Current Employees"/>
    <x v="1"/>
    <x v="2"/>
    <s v="STAFF-14"/>
    <n v="14"/>
    <x v="1"/>
    <x v="2"/>
    <x v="1"/>
    <s v="No"/>
    <s v="Y"/>
    <n v="5"/>
    <n v="-2"/>
    <n v="0"/>
    <n v="35"/>
    <n v="0"/>
    <m/>
    <n v="0"/>
    <n v="1"/>
    <n v="809"/>
    <n v="16"/>
    <x v="3"/>
    <n v="1"/>
    <n v="1"/>
    <n v="84"/>
    <n v="4"/>
    <n v="1"/>
    <n v="2"/>
    <n v="2426"/>
    <n v="16479"/>
    <n v="0"/>
    <n v="13"/>
    <n v="3"/>
    <n v="3"/>
    <n v="80"/>
    <n v="1"/>
    <n v="6"/>
    <n v="3"/>
    <n v="5"/>
    <n v="4"/>
    <n v="0"/>
    <n v="3"/>
  </r>
  <r>
    <x v="1"/>
    <s v="Travel_Rarely"/>
    <x v="2"/>
    <s v="Current Employees"/>
    <x v="1"/>
    <x v="0"/>
    <s v="STAFF-15"/>
    <n v="15"/>
    <x v="0"/>
    <x v="2"/>
    <x v="0"/>
    <s v="Yes"/>
    <s v="Y"/>
    <n v="3"/>
    <n v="-2"/>
    <n v="0"/>
    <n v="29"/>
    <n v="0"/>
    <m/>
    <n v="0"/>
    <n v="1"/>
    <n v="153"/>
    <n v="15"/>
    <x v="0"/>
    <n v="1"/>
    <n v="4"/>
    <n v="49"/>
    <n v="2"/>
    <n v="2"/>
    <n v="2"/>
    <n v="4193"/>
    <n v="12682"/>
    <n v="0"/>
    <n v="12"/>
    <n v="3"/>
    <n v="4"/>
    <n v="80"/>
    <n v="0"/>
    <n v="10"/>
    <n v="3"/>
    <n v="9"/>
    <n v="5"/>
    <n v="0"/>
    <n v="8"/>
  </r>
  <r>
    <x v="1"/>
    <s v="Travel_Rarely"/>
    <x v="2"/>
    <s v="Current Employees"/>
    <x v="1"/>
    <x v="0"/>
    <s v="STAFF-16"/>
    <n v="16"/>
    <x v="1"/>
    <x v="1"/>
    <x v="2"/>
    <s v="No"/>
    <s v="Y"/>
    <n v="1"/>
    <n v="-2"/>
    <n v="0"/>
    <n v="31"/>
    <n v="0"/>
    <m/>
    <n v="0"/>
    <n v="1"/>
    <n v="670"/>
    <n v="26"/>
    <x v="1"/>
    <n v="1"/>
    <n v="1"/>
    <n v="31"/>
    <n v="3"/>
    <n v="1"/>
    <n v="2"/>
    <n v="2911"/>
    <n v="15170"/>
    <n v="1"/>
    <n v="17"/>
    <n v="3"/>
    <n v="4"/>
    <n v="80"/>
    <n v="1"/>
    <n v="5"/>
    <n v="2"/>
    <n v="5"/>
    <n v="2"/>
    <n v="4"/>
    <n v="3"/>
  </r>
  <r>
    <x v="1"/>
    <s v="Travel_Rarely"/>
    <x v="2"/>
    <s v="Current Employees"/>
    <x v="1"/>
    <x v="2"/>
    <s v="STAFF-18"/>
    <n v="18"/>
    <x v="1"/>
    <x v="2"/>
    <x v="2"/>
    <s v="No"/>
    <s v="Y"/>
    <n v="2"/>
    <n v="-2"/>
    <n v="0"/>
    <n v="34"/>
    <n v="0"/>
    <m/>
    <n v="0"/>
    <n v="1"/>
    <n v="1346"/>
    <n v="19"/>
    <x v="0"/>
    <n v="1"/>
    <n v="2"/>
    <n v="93"/>
    <n v="3"/>
    <n v="1"/>
    <n v="4"/>
    <n v="2661"/>
    <n v="8758"/>
    <n v="0"/>
    <n v="11"/>
    <n v="3"/>
    <n v="3"/>
    <n v="80"/>
    <n v="1"/>
    <n v="3"/>
    <n v="3"/>
    <n v="2"/>
    <n v="2"/>
    <n v="1"/>
    <n v="2"/>
  </r>
  <r>
    <x v="0"/>
    <s v="Travel_Rarely"/>
    <x v="2"/>
    <s v="Ex-Employees"/>
    <x v="1"/>
    <x v="0"/>
    <s v="STAFF-19"/>
    <n v="19"/>
    <x v="1"/>
    <x v="2"/>
    <x v="0"/>
    <s v="Yes"/>
    <s v="Y"/>
    <n v="4"/>
    <n v="-2"/>
    <n v="0"/>
    <n v="28"/>
    <n v="1"/>
    <n v="1"/>
    <n v="1"/>
    <n v="0"/>
    <n v="103"/>
    <n v="24"/>
    <x v="3"/>
    <n v="1"/>
    <n v="3"/>
    <n v="50"/>
    <n v="2"/>
    <n v="1"/>
    <n v="2"/>
    <n v="2028"/>
    <n v="12947"/>
    <n v="5"/>
    <n v="14"/>
    <n v="3"/>
    <n v="2"/>
    <n v="80"/>
    <n v="0"/>
    <n v="6"/>
    <n v="3"/>
    <n v="4"/>
    <n v="2"/>
    <n v="0"/>
    <n v="3"/>
  </r>
  <r>
    <x v="1"/>
    <s v="Travel_Rarely"/>
    <x v="2"/>
    <s v="Current Employees"/>
    <x v="1"/>
    <x v="0"/>
    <s v="STAFF-20"/>
    <n v="20"/>
    <x v="0"/>
    <x v="3"/>
    <x v="2"/>
    <s v="No"/>
    <s v="Y"/>
    <n v="1"/>
    <n v="-2"/>
    <n v="0"/>
    <n v="29"/>
    <n v="0"/>
    <m/>
    <n v="0"/>
    <n v="1"/>
    <n v="1389"/>
    <n v="21"/>
    <x v="2"/>
    <n v="1"/>
    <n v="2"/>
    <n v="51"/>
    <n v="4"/>
    <n v="3"/>
    <n v="2"/>
    <n v="9980"/>
    <n v="10195"/>
    <n v="1"/>
    <n v="11"/>
    <n v="3"/>
    <n v="3"/>
    <n v="80"/>
    <n v="1"/>
    <n v="10"/>
    <n v="3"/>
    <n v="10"/>
    <n v="9"/>
    <n v="8"/>
    <n v="8"/>
  </r>
  <r>
    <x v="1"/>
    <s v="Travel_Rarely"/>
    <x v="2"/>
    <s v="Current Employees"/>
    <x v="1"/>
    <x v="0"/>
    <s v="STAFF-21"/>
    <n v="21"/>
    <x v="1"/>
    <x v="1"/>
    <x v="2"/>
    <s v="Yes"/>
    <s v="Y"/>
    <n v="5"/>
    <n v="-2"/>
    <n v="0"/>
    <n v="32"/>
    <n v="0"/>
    <m/>
    <n v="0"/>
    <n v="1"/>
    <n v="334"/>
    <n v="5"/>
    <x v="0"/>
    <n v="1"/>
    <n v="1"/>
    <n v="80"/>
    <n v="4"/>
    <n v="1"/>
    <n v="2"/>
    <n v="3298"/>
    <n v="15053"/>
    <n v="0"/>
    <n v="12"/>
    <n v="3"/>
    <n v="4"/>
    <n v="80"/>
    <n v="2"/>
    <n v="7"/>
    <n v="2"/>
    <n v="6"/>
    <n v="2"/>
    <n v="0"/>
    <n v="5"/>
  </r>
  <r>
    <x v="1"/>
    <s v="Non-Travel"/>
    <x v="4"/>
    <s v="Current Employees"/>
    <x v="1"/>
    <x v="2"/>
    <s v="STAFF-22"/>
    <n v="22"/>
    <x v="1"/>
    <x v="2"/>
    <x v="2"/>
    <s v="Yes"/>
    <s v="Y"/>
    <n v="2"/>
    <n v="-2"/>
    <n v="0"/>
    <n v="22"/>
    <n v="0"/>
    <m/>
    <n v="0"/>
    <n v="1"/>
    <n v="1123"/>
    <n v="16"/>
    <x v="0"/>
    <n v="1"/>
    <n v="4"/>
    <n v="96"/>
    <n v="4"/>
    <n v="1"/>
    <n v="4"/>
    <n v="2935"/>
    <n v="7324"/>
    <n v="1"/>
    <n v="13"/>
    <n v="3"/>
    <n v="2"/>
    <n v="80"/>
    <n v="2"/>
    <n v="1"/>
    <n v="2"/>
    <n v="1"/>
    <n v="0"/>
    <n v="0"/>
    <n v="0"/>
  </r>
  <r>
    <x v="1"/>
    <s v="Travel_Rarely"/>
    <x v="1"/>
    <s v="Current Employees"/>
    <x v="0"/>
    <x v="0"/>
    <s v="STAFF-23"/>
    <n v="23"/>
    <x v="0"/>
    <x v="5"/>
    <x v="1"/>
    <s v="No"/>
    <s v="Y"/>
    <n v="3"/>
    <n v="-2"/>
    <n v="0"/>
    <n v="53"/>
    <n v="0"/>
    <m/>
    <n v="0"/>
    <n v="1"/>
    <n v="1219"/>
    <n v="2"/>
    <x v="2"/>
    <n v="1"/>
    <n v="1"/>
    <n v="78"/>
    <n v="2"/>
    <n v="4"/>
    <n v="2"/>
    <n v="15427"/>
    <n v="22021"/>
    <n v="2"/>
    <n v="16"/>
    <n v="3"/>
    <n v="3"/>
    <n v="80"/>
    <n v="0"/>
    <n v="31"/>
    <n v="3"/>
    <n v="25"/>
    <n v="8"/>
    <n v="3"/>
    <n v="7"/>
  </r>
  <r>
    <x v="1"/>
    <s v="Travel_Rarely"/>
    <x v="0"/>
    <s v="Current Employees"/>
    <x v="1"/>
    <x v="0"/>
    <s v="STAFF-24"/>
    <n v="24"/>
    <x v="1"/>
    <x v="1"/>
    <x v="0"/>
    <s v="Yes"/>
    <s v="Y"/>
    <n v="3"/>
    <n v="-2"/>
    <n v="0"/>
    <n v="38"/>
    <n v="0"/>
    <m/>
    <n v="0"/>
    <n v="1"/>
    <n v="371"/>
    <n v="2"/>
    <x v="3"/>
    <n v="1"/>
    <n v="4"/>
    <n v="45"/>
    <n v="3"/>
    <n v="1"/>
    <n v="2"/>
    <n v="3944"/>
    <n v="4306"/>
    <n v="5"/>
    <n v="11"/>
    <n v="3"/>
    <n v="3"/>
    <n v="80"/>
    <n v="0"/>
    <n v="6"/>
    <n v="3"/>
    <n v="3"/>
    <n v="2"/>
    <n v="1"/>
    <n v="2"/>
  </r>
  <r>
    <x v="1"/>
    <s v="Non-Travel"/>
    <x v="4"/>
    <s v="Current Employees"/>
    <x v="1"/>
    <x v="1"/>
    <s v="STAFF-26"/>
    <n v="26"/>
    <x v="0"/>
    <x v="3"/>
    <x v="2"/>
    <s v="No"/>
    <s v="Y"/>
    <n v="5"/>
    <n v="-2"/>
    <n v="0"/>
    <n v="24"/>
    <n v="0"/>
    <m/>
    <n v="0"/>
    <n v="1"/>
    <n v="673"/>
    <n v="11"/>
    <x v="0"/>
    <n v="1"/>
    <n v="1"/>
    <n v="96"/>
    <n v="4"/>
    <n v="2"/>
    <n v="3"/>
    <n v="4011"/>
    <n v="8232"/>
    <n v="0"/>
    <n v="18"/>
    <n v="3"/>
    <n v="4"/>
    <n v="80"/>
    <n v="1"/>
    <n v="5"/>
    <n v="2"/>
    <n v="4"/>
    <n v="2"/>
    <n v="1"/>
    <n v="3"/>
  </r>
  <r>
    <x v="0"/>
    <s v="Travel_Rarely"/>
    <x v="0"/>
    <s v="Ex-Employees"/>
    <x v="0"/>
    <x v="0"/>
    <s v="STAFF-27"/>
    <n v="27"/>
    <x v="1"/>
    <x v="6"/>
    <x v="0"/>
    <s v="No"/>
    <s v="Y"/>
    <n v="4"/>
    <n v="-2"/>
    <n v="0"/>
    <n v="36"/>
    <n v="1"/>
    <n v="1"/>
    <n v="1"/>
    <n v="0"/>
    <n v="1218"/>
    <n v="9"/>
    <x v="2"/>
    <n v="1"/>
    <n v="3"/>
    <n v="82"/>
    <n v="2"/>
    <n v="1"/>
    <n v="2"/>
    <n v="3407"/>
    <n v="6986"/>
    <n v="7"/>
    <n v="23"/>
    <n v="4"/>
    <n v="2"/>
    <n v="80"/>
    <n v="0"/>
    <n v="10"/>
    <n v="3"/>
    <n v="5"/>
    <n v="3"/>
    <n v="0"/>
    <n v="3"/>
  </r>
  <r>
    <x v="1"/>
    <s v="Travel_Rarely"/>
    <x v="2"/>
    <s v="Current Employees"/>
    <x v="1"/>
    <x v="0"/>
    <s v="STAFF-28"/>
    <n v="28"/>
    <x v="0"/>
    <x v="7"/>
    <x v="0"/>
    <s v="No"/>
    <s v="Y"/>
    <n v="4"/>
    <n v="-2"/>
    <n v="0"/>
    <n v="34"/>
    <n v="0"/>
    <m/>
    <n v="0"/>
    <n v="1"/>
    <n v="419"/>
    <n v="7"/>
    <x v="2"/>
    <n v="1"/>
    <n v="1"/>
    <n v="53"/>
    <n v="3"/>
    <n v="3"/>
    <n v="2"/>
    <n v="11994"/>
    <n v="21293"/>
    <n v="0"/>
    <n v="11"/>
    <n v="3"/>
    <n v="3"/>
    <n v="80"/>
    <n v="0"/>
    <n v="13"/>
    <n v="3"/>
    <n v="12"/>
    <n v="6"/>
    <n v="2"/>
    <n v="11"/>
  </r>
  <r>
    <x v="1"/>
    <s v="Travel_Rarely"/>
    <x v="4"/>
    <s v="Current Employees"/>
    <x v="1"/>
    <x v="0"/>
    <s v="STAFF-30"/>
    <n v="30"/>
    <x v="1"/>
    <x v="1"/>
    <x v="0"/>
    <s v="No"/>
    <s v="Y"/>
    <n v="6"/>
    <n v="-2"/>
    <n v="0"/>
    <n v="21"/>
    <n v="0"/>
    <m/>
    <n v="0"/>
    <n v="1"/>
    <n v="391"/>
    <n v="15"/>
    <x v="0"/>
    <n v="1"/>
    <n v="3"/>
    <n v="96"/>
    <n v="3"/>
    <n v="1"/>
    <n v="2"/>
    <n v="1232"/>
    <n v="19281"/>
    <n v="1"/>
    <n v="14"/>
    <n v="3"/>
    <n v="4"/>
    <n v="80"/>
    <n v="0"/>
    <n v="0"/>
    <n v="3"/>
    <n v="0"/>
    <n v="0"/>
    <n v="0"/>
    <n v="0"/>
  </r>
  <r>
    <x v="0"/>
    <s v="Travel_Rarely"/>
    <x v="2"/>
    <s v="Ex-Employees"/>
    <x v="1"/>
    <x v="2"/>
    <s v="STAFF-31"/>
    <n v="31"/>
    <x v="1"/>
    <x v="1"/>
    <x v="0"/>
    <s v="No"/>
    <s v="Y"/>
    <n v="2"/>
    <n v="-2"/>
    <n v="0"/>
    <n v="34"/>
    <n v="1"/>
    <n v="1"/>
    <n v="1"/>
    <n v="0"/>
    <n v="699"/>
    <n v="6"/>
    <x v="1"/>
    <n v="1"/>
    <n v="2"/>
    <n v="83"/>
    <n v="3"/>
    <n v="1"/>
    <n v="4"/>
    <n v="2960"/>
    <n v="17102"/>
    <n v="2"/>
    <n v="11"/>
    <n v="3"/>
    <n v="3"/>
    <n v="80"/>
    <n v="0"/>
    <n v="8"/>
    <n v="3"/>
    <n v="4"/>
    <n v="2"/>
    <n v="1"/>
    <n v="3"/>
  </r>
  <r>
    <x v="1"/>
    <s v="Travel_Rarely"/>
    <x v="1"/>
    <s v="Current Employees"/>
    <x v="1"/>
    <x v="1"/>
    <s v="STAFF-32"/>
    <n v="32"/>
    <x v="0"/>
    <x v="5"/>
    <x v="2"/>
    <s v="No"/>
    <s v="Y"/>
    <n v="3"/>
    <n v="-2"/>
    <n v="0"/>
    <n v="53"/>
    <n v="0"/>
    <m/>
    <n v="0"/>
    <n v="1"/>
    <n v="1282"/>
    <n v="5"/>
    <x v="3"/>
    <n v="1"/>
    <n v="3"/>
    <n v="58"/>
    <n v="3"/>
    <n v="5"/>
    <n v="3"/>
    <n v="19094"/>
    <n v="10735"/>
    <n v="4"/>
    <n v="11"/>
    <n v="3"/>
    <n v="4"/>
    <n v="80"/>
    <n v="1"/>
    <n v="26"/>
    <n v="2"/>
    <n v="14"/>
    <n v="13"/>
    <n v="4"/>
    <n v="8"/>
  </r>
  <r>
    <x v="0"/>
    <s v="Travel_Frequently"/>
    <x v="2"/>
    <s v="Ex-Employees"/>
    <x v="1"/>
    <x v="0"/>
    <s v="STAFF-33"/>
    <n v="33"/>
    <x v="0"/>
    <x v="1"/>
    <x v="0"/>
    <s v="Yes"/>
    <s v="Y"/>
    <n v="5"/>
    <n v="-2"/>
    <n v="0"/>
    <n v="32"/>
    <n v="1"/>
    <n v="1"/>
    <n v="1"/>
    <n v="0"/>
    <n v="1125"/>
    <n v="16"/>
    <x v="1"/>
    <n v="1"/>
    <n v="2"/>
    <n v="72"/>
    <n v="1"/>
    <n v="1"/>
    <n v="2"/>
    <n v="3919"/>
    <n v="4681"/>
    <n v="1"/>
    <n v="22"/>
    <n v="4"/>
    <n v="2"/>
    <n v="80"/>
    <n v="0"/>
    <n v="10"/>
    <n v="3"/>
    <n v="10"/>
    <n v="2"/>
    <n v="6"/>
    <n v="7"/>
  </r>
  <r>
    <x v="1"/>
    <s v="Travel_Rarely"/>
    <x v="0"/>
    <s v="Current Employees"/>
    <x v="0"/>
    <x v="3"/>
    <s v="STAFF-35"/>
    <n v="35"/>
    <x v="1"/>
    <x v="0"/>
    <x v="1"/>
    <s v="No"/>
    <s v="Y"/>
    <n v="2"/>
    <n v="-2"/>
    <n v="0"/>
    <n v="42"/>
    <n v="0"/>
    <m/>
    <n v="0"/>
    <n v="1"/>
    <n v="691"/>
    <n v="8"/>
    <x v="2"/>
    <n v="1"/>
    <n v="3"/>
    <n v="48"/>
    <n v="3"/>
    <n v="2"/>
    <n v="3"/>
    <n v="6825"/>
    <n v="21173"/>
    <n v="0"/>
    <n v="11"/>
    <n v="3"/>
    <n v="4"/>
    <n v="80"/>
    <n v="1"/>
    <n v="10"/>
    <n v="3"/>
    <n v="9"/>
    <n v="7"/>
    <n v="4"/>
    <n v="2"/>
  </r>
  <r>
    <x v="1"/>
    <s v="Travel_Rarely"/>
    <x v="0"/>
    <s v="Current Employees"/>
    <x v="1"/>
    <x v="2"/>
    <s v="STAFF-36"/>
    <n v="36"/>
    <x v="0"/>
    <x v="4"/>
    <x v="1"/>
    <s v="No"/>
    <s v="Y"/>
    <n v="4"/>
    <n v="-2"/>
    <n v="0"/>
    <n v="44"/>
    <n v="0"/>
    <m/>
    <n v="0"/>
    <n v="1"/>
    <n v="477"/>
    <n v="7"/>
    <x v="2"/>
    <n v="1"/>
    <n v="1"/>
    <n v="42"/>
    <n v="2"/>
    <n v="3"/>
    <n v="4"/>
    <n v="10248"/>
    <n v="2094"/>
    <n v="3"/>
    <n v="14"/>
    <n v="3"/>
    <n v="4"/>
    <n v="80"/>
    <n v="1"/>
    <n v="24"/>
    <n v="3"/>
    <n v="22"/>
    <n v="6"/>
    <n v="5"/>
    <n v="17"/>
  </r>
  <r>
    <x v="1"/>
    <s v="Travel_Rarely"/>
    <x v="1"/>
    <s v="Current Employees"/>
    <x v="0"/>
    <x v="3"/>
    <s v="STAFF-38"/>
    <n v="38"/>
    <x v="0"/>
    <x v="5"/>
    <x v="0"/>
    <s v="No"/>
    <s v="Y"/>
    <n v="2"/>
    <n v="-2"/>
    <n v="0"/>
    <n v="46"/>
    <n v="0"/>
    <m/>
    <n v="0"/>
    <n v="1"/>
    <n v="705"/>
    <n v="2"/>
    <x v="2"/>
    <n v="1"/>
    <n v="2"/>
    <n v="83"/>
    <n v="3"/>
    <n v="5"/>
    <n v="4"/>
    <n v="18947"/>
    <n v="22822"/>
    <n v="3"/>
    <n v="12"/>
    <n v="3"/>
    <n v="4"/>
    <n v="80"/>
    <n v="0"/>
    <n v="22"/>
    <n v="2"/>
    <n v="2"/>
    <n v="2"/>
    <n v="2"/>
    <n v="1"/>
  </r>
  <r>
    <x v="1"/>
    <s v="Travel_Rarely"/>
    <x v="2"/>
    <s v="Current Employees"/>
    <x v="1"/>
    <x v="2"/>
    <s v="STAFF-39"/>
    <n v="39"/>
    <x v="1"/>
    <x v="2"/>
    <x v="0"/>
    <s v="No"/>
    <s v="Y"/>
    <n v="3"/>
    <n v="-2"/>
    <n v="0"/>
    <n v="33"/>
    <n v="0"/>
    <m/>
    <n v="0"/>
    <n v="1"/>
    <n v="924"/>
    <n v="2"/>
    <x v="3"/>
    <n v="1"/>
    <n v="3"/>
    <n v="78"/>
    <n v="3"/>
    <n v="1"/>
    <n v="4"/>
    <n v="2496"/>
    <n v="6670"/>
    <n v="4"/>
    <n v="11"/>
    <n v="3"/>
    <n v="4"/>
    <n v="80"/>
    <n v="0"/>
    <n v="7"/>
    <n v="3"/>
    <n v="1"/>
    <n v="1"/>
    <n v="0"/>
    <n v="0"/>
  </r>
  <r>
    <x v="1"/>
    <s v="Travel_Rarely"/>
    <x v="0"/>
    <s v="Current Employees"/>
    <x v="1"/>
    <x v="1"/>
    <s v="STAFF-40"/>
    <n v="40"/>
    <x v="1"/>
    <x v="4"/>
    <x v="1"/>
    <s v="Yes"/>
    <s v="Y"/>
    <n v="5"/>
    <n v="-2"/>
    <n v="0"/>
    <n v="44"/>
    <n v="0"/>
    <m/>
    <n v="0"/>
    <n v="1"/>
    <n v="1459"/>
    <n v="10"/>
    <x v="2"/>
    <n v="1"/>
    <n v="4"/>
    <n v="41"/>
    <n v="3"/>
    <n v="2"/>
    <n v="4"/>
    <n v="6465"/>
    <n v="19121"/>
    <n v="2"/>
    <n v="13"/>
    <n v="3"/>
    <n v="4"/>
    <n v="80"/>
    <n v="0"/>
    <n v="9"/>
    <n v="4"/>
    <n v="4"/>
    <n v="2"/>
    <n v="1"/>
    <n v="3"/>
  </r>
  <r>
    <x v="1"/>
    <s v="Travel_Rarely"/>
    <x v="2"/>
    <s v="Current Employees"/>
    <x v="1"/>
    <x v="2"/>
    <s v="STAFF-41"/>
    <n v="41"/>
    <x v="1"/>
    <x v="2"/>
    <x v="0"/>
    <s v="No"/>
    <s v="Y"/>
    <n v="5"/>
    <n v="-2"/>
    <n v="0"/>
    <n v="30"/>
    <n v="0"/>
    <m/>
    <n v="0"/>
    <n v="1"/>
    <n v="125"/>
    <n v="9"/>
    <x v="0"/>
    <n v="1"/>
    <n v="4"/>
    <n v="83"/>
    <n v="2"/>
    <n v="1"/>
    <n v="3"/>
    <n v="2206"/>
    <n v="16117"/>
    <n v="1"/>
    <n v="13"/>
    <n v="3"/>
    <n v="1"/>
    <n v="80"/>
    <n v="0"/>
    <n v="10"/>
    <n v="3"/>
    <n v="10"/>
    <n v="0"/>
    <n v="1"/>
    <n v="8"/>
  </r>
  <r>
    <x v="0"/>
    <s v="Travel_Rarely"/>
    <x v="0"/>
    <s v="Ex-Employees"/>
    <x v="0"/>
    <x v="4"/>
    <s v="STAFF-42"/>
    <n v="42"/>
    <x v="1"/>
    <x v="6"/>
    <x v="1"/>
    <s v="No"/>
    <s v="Y"/>
    <n v="6"/>
    <n v="-2"/>
    <n v="0"/>
    <n v="39"/>
    <n v="1"/>
    <n v="1"/>
    <n v="1"/>
    <n v="0"/>
    <n v="895"/>
    <n v="5"/>
    <x v="3"/>
    <n v="1"/>
    <n v="4"/>
    <n v="56"/>
    <n v="3"/>
    <n v="2"/>
    <n v="4"/>
    <n v="2086"/>
    <n v="3335"/>
    <n v="3"/>
    <n v="14"/>
    <n v="3"/>
    <n v="3"/>
    <n v="80"/>
    <n v="1"/>
    <n v="19"/>
    <n v="4"/>
    <n v="1"/>
    <n v="0"/>
    <n v="0"/>
    <n v="0"/>
  </r>
  <r>
    <x v="0"/>
    <s v="Travel_Rarely"/>
    <x v="4"/>
    <s v="Ex-Employees"/>
    <x v="1"/>
    <x v="2"/>
    <s v="STAFF-45"/>
    <n v="45"/>
    <x v="1"/>
    <x v="1"/>
    <x v="1"/>
    <s v="Yes"/>
    <s v="Y"/>
    <n v="2"/>
    <n v="-2"/>
    <n v="0"/>
    <n v="24"/>
    <n v="1"/>
    <n v="1"/>
    <n v="1"/>
    <n v="0"/>
    <n v="813"/>
    <n v="1"/>
    <x v="3"/>
    <n v="1"/>
    <n v="2"/>
    <n v="61"/>
    <n v="3"/>
    <n v="1"/>
    <n v="4"/>
    <n v="2293"/>
    <n v="3020"/>
    <n v="2"/>
    <n v="16"/>
    <n v="3"/>
    <n v="1"/>
    <n v="80"/>
    <n v="1"/>
    <n v="6"/>
    <n v="2"/>
    <n v="2"/>
    <n v="0"/>
    <n v="2"/>
    <n v="0"/>
  </r>
  <r>
    <x v="1"/>
    <s v="Travel_Rarely"/>
    <x v="0"/>
    <s v="Current Employees"/>
    <x v="1"/>
    <x v="2"/>
    <s v="STAFF-46"/>
    <n v="46"/>
    <x v="0"/>
    <x v="1"/>
    <x v="2"/>
    <s v="No"/>
    <s v="Y"/>
    <n v="3"/>
    <n v="-2"/>
    <n v="0"/>
    <n v="43"/>
    <n v="0"/>
    <m/>
    <n v="0"/>
    <n v="1"/>
    <n v="1273"/>
    <n v="2"/>
    <x v="0"/>
    <n v="1"/>
    <n v="4"/>
    <n v="72"/>
    <n v="4"/>
    <n v="1"/>
    <n v="3"/>
    <n v="2645"/>
    <n v="21923"/>
    <n v="1"/>
    <n v="12"/>
    <n v="3"/>
    <n v="4"/>
    <n v="80"/>
    <n v="2"/>
    <n v="6"/>
    <n v="2"/>
    <n v="5"/>
    <n v="3"/>
    <n v="1"/>
    <n v="4"/>
  </r>
  <r>
    <x v="0"/>
    <s v="Travel_Rarely"/>
    <x v="1"/>
    <s v="Ex-Employees"/>
    <x v="0"/>
    <x v="3"/>
    <s v="STAFF-47"/>
    <n v="47"/>
    <x v="1"/>
    <x v="6"/>
    <x v="1"/>
    <s v="Yes"/>
    <s v="Y"/>
    <n v="2"/>
    <n v="-2"/>
    <n v="0"/>
    <n v="50"/>
    <n v="1"/>
    <n v="1"/>
    <n v="1"/>
    <n v="0"/>
    <n v="869"/>
    <n v="3"/>
    <x v="0"/>
    <n v="1"/>
    <n v="1"/>
    <n v="86"/>
    <n v="2"/>
    <n v="1"/>
    <n v="3"/>
    <n v="2683"/>
    <n v="3810"/>
    <n v="1"/>
    <n v="14"/>
    <n v="3"/>
    <n v="3"/>
    <n v="80"/>
    <n v="0"/>
    <n v="3"/>
    <n v="3"/>
    <n v="3"/>
    <n v="2"/>
    <n v="0"/>
    <n v="2"/>
  </r>
  <r>
    <x v="1"/>
    <s v="Travel_Rarely"/>
    <x v="0"/>
    <s v="Current Employees"/>
    <x v="0"/>
    <x v="3"/>
    <s v="STAFF-49"/>
    <n v="49"/>
    <x v="0"/>
    <x v="6"/>
    <x v="1"/>
    <s v="No"/>
    <s v="Y"/>
    <n v="3"/>
    <n v="-2"/>
    <n v="0"/>
    <n v="35"/>
    <n v="0"/>
    <m/>
    <n v="0"/>
    <n v="1"/>
    <n v="890"/>
    <n v="2"/>
    <x v="3"/>
    <n v="1"/>
    <n v="4"/>
    <n v="97"/>
    <n v="3"/>
    <n v="1"/>
    <n v="4"/>
    <n v="2014"/>
    <n v="9687"/>
    <n v="1"/>
    <n v="13"/>
    <n v="3"/>
    <n v="1"/>
    <n v="80"/>
    <n v="0"/>
    <n v="2"/>
    <n v="3"/>
    <n v="2"/>
    <n v="2"/>
    <n v="2"/>
    <n v="2"/>
  </r>
  <r>
    <x v="1"/>
    <s v="Travel_Rarely"/>
    <x v="0"/>
    <s v="Current Employees"/>
    <x v="1"/>
    <x v="0"/>
    <s v="STAFF-51"/>
    <n v="51"/>
    <x v="0"/>
    <x v="1"/>
    <x v="1"/>
    <s v="Yes"/>
    <s v="Y"/>
    <n v="3"/>
    <n v="-2"/>
    <n v="0"/>
    <n v="36"/>
    <n v="0"/>
    <m/>
    <n v="0"/>
    <n v="1"/>
    <n v="852"/>
    <n v="5"/>
    <x v="2"/>
    <n v="1"/>
    <n v="2"/>
    <n v="82"/>
    <n v="2"/>
    <n v="1"/>
    <n v="2"/>
    <n v="3419"/>
    <n v="13072"/>
    <n v="9"/>
    <n v="14"/>
    <n v="3"/>
    <n v="4"/>
    <n v="80"/>
    <n v="1"/>
    <n v="6"/>
    <n v="4"/>
    <n v="1"/>
    <n v="1"/>
    <n v="0"/>
    <n v="0"/>
  </r>
  <r>
    <x v="1"/>
    <s v="Travel_Frequently"/>
    <x v="2"/>
    <s v="Current Employees"/>
    <x v="0"/>
    <x v="0"/>
    <s v="STAFF-52"/>
    <n v="52"/>
    <x v="0"/>
    <x v="0"/>
    <x v="1"/>
    <s v="No"/>
    <s v="Y"/>
    <n v="3"/>
    <n v="-2"/>
    <n v="0"/>
    <n v="33"/>
    <n v="0"/>
    <m/>
    <n v="0"/>
    <n v="1"/>
    <n v="1141"/>
    <n v="1"/>
    <x v="3"/>
    <n v="1"/>
    <n v="3"/>
    <n v="42"/>
    <n v="4"/>
    <n v="2"/>
    <n v="2"/>
    <n v="5376"/>
    <n v="3193"/>
    <n v="2"/>
    <n v="19"/>
    <n v="3"/>
    <n v="1"/>
    <n v="80"/>
    <n v="2"/>
    <n v="10"/>
    <n v="3"/>
    <n v="5"/>
    <n v="3"/>
    <n v="1"/>
    <n v="3"/>
  </r>
  <r>
    <x v="1"/>
    <s v="Travel_Rarely"/>
    <x v="0"/>
    <s v="Current Employees"/>
    <x v="1"/>
    <x v="1"/>
    <s v="STAFF-53"/>
    <n v="53"/>
    <x v="1"/>
    <x v="2"/>
    <x v="2"/>
    <s v="No"/>
    <s v="Y"/>
    <n v="3"/>
    <n v="-2"/>
    <n v="0"/>
    <n v="35"/>
    <n v="0"/>
    <m/>
    <n v="0"/>
    <n v="1"/>
    <n v="464"/>
    <n v="4"/>
    <x v="0"/>
    <n v="1"/>
    <n v="3"/>
    <n v="75"/>
    <n v="3"/>
    <n v="1"/>
    <n v="4"/>
    <n v="1951"/>
    <n v="10910"/>
    <n v="1"/>
    <n v="12"/>
    <n v="3"/>
    <n v="3"/>
    <n v="80"/>
    <n v="1"/>
    <n v="1"/>
    <n v="3"/>
    <n v="1"/>
    <n v="0"/>
    <n v="0"/>
    <n v="0"/>
  </r>
  <r>
    <x v="1"/>
    <s v="Travel_Rarely"/>
    <x v="2"/>
    <s v="Current Employees"/>
    <x v="1"/>
    <x v="0"/>
    <s v="STAFF-54"/>
    <n v="54"/>
    <x v="0"/>
    <x v="2"/>
    <x v="2"/>
    <s v="No"/>
    <s v="Y"/>
    <n v="6"/>
    <n v="-2"/>
    <n v="0"/>
    <n v="27"/>
    <n v="0"/>
    <m/>
    <n v="0"/>
    <n v="1"/>
    <n v="1240"/>
    <n v="2"/>
    <x v="2"/>
    <n v="1"/>
    <n v="4"/>
    <n v="33"/>
    <n v="3"/>
    <n v="1"/>
    <n v="2"/>
    <n v="2341"/>
    <n v="19715"/>
    <n v="1"/>
    <n v="13"/>
    <n v="3"/>
    <n v="4"/>
    <n v="80"/>
    <n v="1"/>
    <n v="1"/>
    <n v="3"/>
    <n v="1"/>
    <n v="0"/>
    <n v="0"/>
    <n v="0"/>
  </r>
  <r>
    <x v="0"/>
    <s v="Travel_Rarely"/>
    <x v="2"/>
    <s v="Ex-Employees"/>
    <x v="1"/>
    <x v="0"/>
    <s v="STAFF-55"/>
    <n v="55"/>
    <x v="1"/>
    <x v="2"/>
    <x v="0"/>
    <s v="No"/>
    <s v="Y"/>
    <n v="2"/>
    <n v="-2"/>
    <n v="0"/>
    <n v="26"/>
    <n v="1"/>
    <n v="1"/>
    <n v="1"/>
    <n v="0"/>
    <n v="1357"/>
    <n v="25"/>
    <x v="3"/>
    <n v="1"/>
    <n v="1"/>
    <n v="48"/>
    <n v="1"/>
    <n v="1"/>
    <n v="2"/>
    <n v="2293"/>
    <n v="10558"/>
    <n v="1"/>
    <n v="12"/>
    <n v="3"/>
    <n v="3"/>
    <n v="80"/>
    <n v="0"/>
    <n v="1"/>
    <n v="2"/>
    <n v="1"/>
    <n v="0"/>
    <n v="0"/>
    <n v="1"/>
  </r>
  <r>
    <x v="1"/>
    <s v="Travel_Frequently"/>
    <x v="2"/>
    <s v="Current Employees"/>
    <x v="0"/>
    <x v="0"/>
    <s v="STAFF-56"/>
    <n v="56"/>
    <x v="1"/>
    <x v="0"/>
    <x v="0"/>
    <s v="No"/>
    <s v="Y"/>
    <n v="0"/>
    <n v="-2"/>
    <n v="0"/>
    <n v="27"/>
    <n v="0"/>
    <m/>
    <n v="0"/>
    <n v="1"/>
    <n v="994"/>
    <n v="8"/>
    <x v="3"/>
    <n v="1"/>
    <n v="4"/>
    <n v="37"/>
    <n v="3"/>
    <n v="3"/>
    <n v="2"/>
    <n v="8726"/>
    <n v="2975"/>
    <n v="1"/>
    <n v="15"/>
    <n v="3"/>
    <n v="4"/>
    <n v="80"/>
    <n v="0"/>
    <n v="9"/>
    <n v="3"/>
    <n v="9"/>
    <n v="8"/>
    <n v="1"/>
    <n v="7"/>
  </r>
  <r>
    <x v="1"/>
    <s v="Travel_Frequently"/>
    <x v="2"/>
    <s v="Current Employees"/>
    <x v="1"/>
    <x v="2"/>
    <s v="STAFF-57"/>
    <n v="57"/>
    <x v="0"/>
    <x v="2"/>
    <x v="0"/>
    <s v="No"/>
    <s v="Y"/>
    <n v="2"/>
    <n v="-2"/>
    <n v="0"/>
    <n v="30"/>
    <n v="0"/>
    <m/>
    <n v="0"/>
    <n v="1"/>
    <n v="721"/>
    <n v="1"/>
    <x v="0"/>
    <n v="1"/>
    <n v="3"/>
    <n v="58"/>
    <n v="3"/>
    <n v="2"/>
    <n v="4"/>
    <n v="4011"/>
    <n v="10781"/>
    <n v="1"/>
    <n v="23"/>
    <n v="4"/>
    <n v="4"/>
    <n v="80"/>
    <n v="0"/>
    <n v="12"/>
    <n v="3"/>
    <n v="12"/>
    <n v="8"/>
    <n v="3"/>
    <n v="7"/>
  </r>
  <r>
    <x v="0"/>
    <s v="Travel_Rarely"/>
    <x v="0"/>
    <s v="Ex-Employees"/>
    <x v="1"/>
    <x v="4"/>
    <s v="STAFF-58"/>
    <n v="58"/>
    <x v="0"/>
    <x v="7"/>
    <x v="1"/>
    <s v="No"/>
    <s v="Y"/>
    <n v="0"/>
    <n v="-2"/>
    <n v="0"/>
    <n v="41"/>
    <n v="1"/>
    <n v="1"/>
    <n v="1"/>
    <n v="0"/>
    <n v="1360"/>
    <n v="12"/>
    <x v="3"/>
    <n v="1"/>
    <n v="2"/>
    <n v="49"/>
    <n v="3"/>
    <n v="5"/>
    <n v="3"/>
    <n v="19545"/>
    <n v="16280"/>
    <n v="1"/>
    <n v="12"/>
    <n v="3"/>
    <n v="4"/>
    <n v="80"/>
    <n v="0"/>
    <n v="23"/>
    <n v="3"/>
    <n v="22"/>
    <n v="15"/>
    <n v="15"/>
    <n v="8"/>
  </r>
  <r>
    <x v="1"/>
    <s v="Non-Travel"/>
    <x v="2"/>
    <s v="Current Employees"/>
    <x v="0"/>
    <x v="3"/>
    <s v="STAFF-60"/>
    <n v="60"/>
    <x v="1"/>
    <x v="0"/>
    <x v="0"/>
    <s v="No"/>
    <s v="Y"/>
    <n v="2"/>
    <n v="-2"/>
    <n v="0"/>
    <n v="34"/>
    <n v="0"/>
    <m/>
    <n v="0"/>
    <n v="1"/>
    <n v="1065"/>
    <n v="23"/>
    <x v="2"/>
    <n v="1"/>
    <n v="2"/>
    <n v="72"/>
    <n v="3"/>
    <n v="2"/>
    <n v="3"/>
    <n v="4568"/>
    <n v="10034"/>
    <n v="0"/>
    <n v="20"/>
    <n v="4"/>
    <n v="3"/>
    <n v="80"/>
    <n v="0"/>
    <n v="10"/>
    <n v="3"/>
    <n v="9"/>
    <n v="5"/>
    <n v="8"/>
    <n v="7"/>
  </r>
  <r>
    <x v="1"/>
    <s v="Travel_Rarely"/>
    <x v="0"/>
    <s v="Current Employees"/>
    <x v="1"/>
    <x v="0"/>
    <s v="STAFF-61"/>
    <n v="61"/>
    <x v="1"/>
    <x v="1"/>
    <x v="1"/>
    <s v="No"/>
    <s v="Y"/>
    <n v="1"/>
    <n v="-2"/>
    <n v="0"/>
    <n v="37"/>
    <n v="0"/>
    <m/>
    <n v="0"/>
    <n v="1"/>
    <n v="408"/>
    <n v="19"/>
    <x v="0"/>
    <n v="1"/>
    <n v="2"/>
    <n v="73"/>
    <n v="3"/>
    <n v="1"/>
    <n v="2"/>
    <n v="3022"/>
    <n v="10227"/>
    <n v="4"/>
    <n v="21"/>
    <n v="4"/>
    <n v="1"/>
    <n v="80"/>
    <n v="0"/>
    <n v="8"/>
    <n v="3"/>
    <n v="1"/>
    <n v="0"/>
    <n v="0"/>
    <n v="0"/>
  </r>
  <r>
    <x v="1"/>
    <s v="Travel_Frequently"/>
    <x v="1"/>
    <s v="Current Employees"/>
    <x v="0"/>
    <x v="3"/>
    <s v="STAFF-62"/>
    <n v="62"/>
    <x v="1"/>
    <x v="0"/>
    <x v="0"/>
    <s v="Yes"/>
    <s v="Y"/>
    <n v="4"/>
    <n v="-2"/>
    <n v="0"/>
    <n v="46"/>
    <n v="0"/>
    <m/>
    <n v="0"/>
    <n v="1"/>
    <n v="1211"/>
    <n v="5"/>
    <x v="2"/>
    <n v="1"/>
    <n v="1"/>
    <n v="98"/>
    <n v="3"/>
    <n v="2"/>
    <n v="4"/>
    <n v="5772"/>
    <n v="20445"/>
    <n v="4"/>
    <n v="21"/>
    <n v="4"/>
    <n v="3"/>
    <n v="80"/>
    <n v="0"/>
    <n v="14"/>
    <n v="3"/>
    <n v="9"/>
    <n v="6"/>
    <n v="0"/>
    <n v="8"/>
  </r>
  <r>
    <x v="1"/>
    <s v="Travel_Rarely"/>
    <x v="0"/>
    <s v="Current Employees"/>
    <x v="1"/>
    <x v="0"/>
    <s v="STAFF-63"/>
    <n v="63"/>
    <x v="1"/>
    <x v="2"/>
    <x v="1"/>
    <s v="No"/>
    <s v="Y"/>
    <n v="2"/>
    <n v="-2"/>
    <n v="0"/>
    <n v="35"/>
    <n v="0"/>
    <m/>
    <n v="0"/>
    <n v="1"/>
    <n v="1229"/>
    <n v="8"/>
    <x v="1"/>
    <n v="1"/>
    <n v="4"/>
    <n v="36"/>
    <n v="4"/>
    <n v="1"/>
    <n v="2"/>
    <n v="2269"/>
    <n v="4892"/>
    <n v="1"/>
    <n v="19"/>
    <n v="3"/>
    <n v="4"/>
    <n v="80"/>
    <n v="0"/>
    <n v="1"/>
    <n v="3"/>
    <n v="1"/>
    <n v="0"/>
    <n v="0"/>
    <n v="1"/>
  </r>
  <r>
    <x v="0"/>
    <s v="Travel_Rarely"/>
    <x v="1"/>
    <s v="Ex-Employees"/>
    <x v="1"/>
    <x v="0"/>
    <s v="STAFF-64"/>
    <n v="64"/>
    <x v="1"/>
    <x v="2"/>
    <x v="0"/>
    <s v="Yes"/>
    <s v="Y"/>
    <n v="2"/>
    <n v="-2"/>
    <n v="0"/>
    <n v="48"/>
    <n v="1"/>
    <n v="1"/>
    <n v="1"/>
    <n v="0"/>
    <n v="626"/>
    <n v="1"/>
    <x v="0"/>
    <n v="1"/>
    <n v="1"/>
    <n v="98"/>
    <n v="2"/>
    <n v="3"/>
    <n v="2"/>
    <n v="5381"/>
    <n v="19294"/>
    <n v="9"/>
    <n v="13"/>
    <n v="3"/>
    <n v="4"/>
    <n v="80"/>
    <n v="0"/>
    <n v="23"/>
    <n v="3"/>
    <n v="1"/>
    <n v="0"/>
    <n v="0"/>
    <n v="0"/>
  </r>
  <r>
    <x v="0"/>
    <s v="Travel_Rarely"/>
    <x v="2"/>
    <s v="Ex-Employees"/>
    <x v="1"/>
    <x v="4"/>
    <s v="STAFF-65"/>
    <n v="65"/>
    <x v="1"/>
    <x v="2"/>
    <x v="0"/>
    <s v="Yes"/>
    <s v="Y"/>
    <n v="3"/>
    <n v="-2"/>
    <n v="0"/>
    <n v="28"/>
    <n v="1"/>
    <n v="1"/>
    <n v="1"/>
    <n v="0"/>
    <n v="1434"/>
    <n v="5"/>
    <x v="2"/>
    <n v="1"/>
    <n v="3"/>
    <n v="50"/>
    <n v="3"/>
    <n v="1"/>
    <n v="3"/>
    <n v="3441"/>
    <n v="11179"/>
    <n v="1"/>
    <n v="13"/>
    <n v="3"/>
    <n v="3"/>
    <n v="80"/>
    <n v="0"/>
    <n v="2"/>
    <n v="2"/>
    <n v="2"/>
    <n v="2"/>
    <n v="2"/>
    <n v="2"/>
  </r>
  <r>
    <x v="1"/>
    <s v="Travel_Rarely"/>
    <x v="0"/>
    <s v="Current Employees"/>
    <x v="0"/>
    <x v="3"/>
    <s v="STAFF-68"/>
    <n v="68"/>
    <x v="0"/>
    <x v="0"/>
    <x v="2"/>
    <s v="Yes"/>
    <s v="Y"/>
    <n v="2"/>
    <n v="-2"/>
    <n v="0"/>
    <n v="44"/>
    <n v="0"/>
    <m/>
    <n v="0"/>
    <n v="1"/>
    <n v="1488"/>
    <n v="1"/>
    <x v="4"/>
    <n v="1"/>
    <n v="2"/>
    <n v="75"/>
    <n v="3"/>
    <n v="2"/>
    <n v="4"/>
    <n v="5454"/>
    <n v="4009"/>
    <n v="5"/>
    <n v="21"/>
    <n v="4"/>
    <n v="3"/>
    <n v="80"/>
    <n v="1"/>
    <n v="9"/>
    <n v="2"/>
    <n v="4"/>
    <n v="3"/>
    <n v="1"/>
    <n v="3"/>
  </r>
  <r>
    <x v="1"/>
    <s v="Non-Travel"/>
    <x v="0"/>
    <s v="Current Employees"/>
    <x v="1"/>
    <x v="2"/>
    <s v="STAFF-70"/>
    <n v="70"/>
    <x v="1"/>
    <x v="4"/>
    <x v="1"/>
    <s v="Yes"/>
    <s v="Y"/>
    <n v="3"/>
    <n v="-2"/>
    <n v="0"/>
    <n v="35"/>
    <n v="0"/>
    <m/>
    <n v="0"/>
    <n v="1"/>
    <n v="1097"/>
    <n v="11"/>
    <x v="0"/>
    <n v="1"/>
    <n v="3"/>
    <n v="79"/>
    <n v="2"/>
    <n v="3"/>
    <n v="4"/>
    <n v="9884"/>
    <n v="8302"/>
    <n v="2"/>
    <n v="13"/>
    <n v="3"/>
    <n v="3"/>
    <n v="80"/>
    <n v="1"/>
    <n v="10"/>
    <n v="3"/>
    <n v="4"/>
    <n v="0"/>
    <n v="2"/>
    <n v="3"/>
  </r>
  <r>
    <x v="1"/>
    <s v="Travel_Rarely"/>
    <x v="2"/>
    <s v="Current Employees"/>
    <x v="0"/>
    <x v="3"/>
    <s v="STAFF-72"/>
    <n v="72"/>
    <x v="0"/>
    <x v="0"/>
    <x v="1"/>
    <s v="Yes"/>
    <s v="Y"/>
    <n v="2"/>
    <n v="-2"/>
    <n v="0"/>
    <n v="26"/>
    <n v="0"/>
    <m/>
    <n v="0"/>
    <n v="1"/>
    <n v="1443"/>
    <n v="23"/>
    <x v="3"/>
    <n v="1"/>
    <n v="3"/>
    <n v="47"/>
    <n v="2"/>
    <n v="2"/>
    <n v="4"/>
    <n v="4157"/>
    <n v="21436"/>
    <n v="7"/>
    <n v="19"/>
    <n v="3"/>
    <n v="3"/>
    <n v="80"/>
    <n v="1"/>
    <n v="5"/>
    <n v="2"/>
    <n v="2"/>
    <n v="2"/>
    <n v="0"/>
    <n v="0"/>
  </r>
  <r>
    <x v="1"/>
    <s v="Travel_Frequently"/>
    <x v="2"/>
    <s v="Current Employees"/>
    <x v="1"/>
    <x v="0"/>
    <s v="STAFF-73"/>
    <n v="73"/>
    <x v="0"/>
    <x v="7"/>
    <x v="0"/>
    <s v="Yes"/>
    <s v="Y"/>
    <n v="1"/>
    <n v="-2"/>
    <n v="0"/>
    <n v="33"/>
    <n v="0"/>
    <m/>
    <n v="0"/>
    <n v="1"/>
    <n v="515"/>
    <n v="1"/>
    <x v="0"/>
    <n v="1"/>
    <n v="1"/>
    <n v="98"/>
    <n v="3"/>
    <n v="3"/>
    <n v="2"/>
    <n v="13458"/>
    <n v="15146"/>
    <n v="1"/>
    <n v="12"/>
    <n v="3"/>
    <n v="3"/>
    <n v="80"/>
    <n v="0"/>
    <n v="15"/>
    <n v="3"/>
    <n v="15"/>
    <n v="14"/>
    <n v="8"/>
    <n v="12"/>
  </r>
  <r>
    <x v="1"/>
    <s v="Travel_Frequently"/>
    <x v="0"/>
    <s v="Current Employees"/>
    <x v="0"/>
    <x v="0"/>
    <s v="STAFF-74"/>
    <n v="74"/>
    <x v="1"/>
    <x v="0"/>
    <x v="1"/>
    <s v="No"/>
    <s v="Y"/>
    <n v="3"/>
    <n v="-2"/>
    <n v="0"/>
    <n v="35"/>
    <n v="0"/>
    <m/>
    <n v="0"/>
    <n v="1"/>
    <n v="853"/>
    <n v="18"/>
    <x v="4"/>
    <n v="1"/>
    <n v="2"/>
    <n v="71"/>
    <n v="3"/>
    <n v="3"/>
    <n v="2"/>
    <n v="9069"/>
    <n v="11031"/>
    <n v="1"/>
    <n v="22"/>
    <n v="4"/>
    <n v="4"/>
    <n v="80"/>
    <n v="1"/>
    <n v="9"/>
    <n v="2"/>
    <n v="9"/>
    <n v="8"/>
    <n v="1"/>
    <n v="8"/>
  </r>
  <r>
    <x v="1"/>
    <s v="Travel_Rarely"/>
    <x v="0"/>
    <s v="Current Employees"/>
    <x v="1"/>
    <x v="2"/>
    <s v="STAFF-75"/>
    <n v="75"/>
    <x v="0"/>
    <x v="2"/>
    <x v="1"/>
    <s v="Yes"/>
    <s v="Y"/>
    <n v="3"/>
    <n v="-2"/>
    <n v="0"/>
    <n v="35"/>
    <n v="0"/>
    <m/>
    <n v="0"/>
    <n v="1"/>
    <n v="1142"/>
    <n v="23"/>
    <x v="2"/>
    <n v="1"/>
    <n v="3"/>
    <n v="30"/>
    <n v="3"/>
    <n v="1"/>
    <n v="4"/>
    <n v="4014"/>
    <n v="16002"/>
    <n v="3"/>
    <n v="15"/>
    <n v="3"/>
    <n v="3"/>
    <n v="80"/>
    <n v="1"/>
    <n v="4"/>
    <n v="3"/>
    <n v="2"/>
    <n v="2"/>
    <n v="2"/>
    <n v="2"/>
  </r>
  <r>
    <x v="1"/>
    <s v="Travel_Rarely"/>
    <x v="2"/>
    <s v="Current Employees"/>
    <x v="1"/>
    <x v="0"/>
    <s v="STAFF-76"/>
    <n v="76"/>
    <x v="1"/>
    <x v="2"/>
    <x v="2"/>
    <s v="No"/>
    <s v="Y"/>
    <n v="3"/>
    <n v="-2"/>
    <n v="0"/>
    <n v="31"/>
    <n v="0"/>
    <m/>
    <n v="0"/>
    <n v="1"/>
    <n v="655"/>
    <n v="7"/>
    <x v="2"/>
    <n v="1"/>
    <n v="4"/>
    <n v="48"/>
    <n v="3"/>
    <n v="2"/>
    <n v="2"/>
    <n v="5915"/>
    <n v="9528"/>
    <n v="3"/>
    <n v="22"/>
    <n v="4"/>
    <n v="4"/>
    <n v="80"/>
    <n v="1"/>
    <n v="10"/>
    <n v="2"/>
    <n v="7"/>
    <n v="7"/>
    <n v="1"/>
    <n v="7"/>
  </r>
  <r>
    <x v="1"/>
    <s v="Travel_Rarely"/>
    <x v="0"/>
    <s v="Current Employees"/>
    <x v="1"/>
    <x v="0"/>
    <s v="STAFF-77"/>
    <n v="77"/>
    <x v="1"/>
    <x v="3"/>
    <x v="2"/>
    <s v="No"/>
    <s v="Y"/>
    <n v="2"/>
    <n v="-2"/>
    <n v="0"/>
    <n v="37"/>
    <n v="0"/>
    <m/>
    <n v="0"/>
    <n v="1"/>
    <n v="1115"/>
    <n v="1"/>
    <x v="2"/>
    <n v="1"/>
    <n v="1"/>
    <n v="51"/>
    <n v="2"/>
    <n v="2"/>
    <n v="2"/>
    <n v="5993"/>
    <n v="2689"/>
    <n v="1"/>
    <n v="18"/>
    <n v="3"/>
    <n v="3"/>
    <n v="80"/>
    <n v="1"/>
    <n v="7"/>
    <n v="4"/>
    <n v="7"/>
    <n v="5"/>
    <n v="0"/>
    <n v="7"/>
  </r>
  <r>
    <x v="1"/>
    <s v="Travel_Rarely"/>
    <x v="2"/>
    <s v="Current Employees"/>
    <x v="1"/>
    <x v="2"/>
    <s v="STAFF-78"/>
    <n v="78"/>
    <x v="1"/>
    <x v="3"/>
    <x v="1"/>
    <s v="Yes"/>
    <s v="Y"/>
    <n v="3"/>
    <n v="-2"/>
    <n v="0"/>
    <n v="32"/>
    <n v="0"/>
    <m/>
    <n v="0"/>
    <n v="1"/>
    <n v="427"/>
    <n v="1"/>
    <x v="3"/>
    <n v="1"/>
    <n v="1"/>
    <n v="33"/>
    <n v="3"/>
    <n v="2"/>
    <n v="4"/>
    <n v="6162"/>
    <n v="10877"/>
    <n v="1"/>
    <n v="22"/>
    <n v="4"/>
    <n v="2"/>
    <n v="80"/>
    <n v="1"/>
    <n v="9"/>
    <n v="3"/>
    <n v="9"/>
    <n v="8"/>
    <n v="7"/>
    <n v="8"/>
  </r>
  <r>
    <x v="1"/>
    <s v="Travel_Frequently"/>
    <x v="0"/>
    <s v="Current Employees"/>
    <x v="1"/>
    <x v="0"/>
    <s v="STAFF-79"/>
    <n v="79"/>
    <x v="0"/>
    <x v="2"/>
    <x v="0"/>
    <s v="No"/>
    <s v="Y"/>
    <n v="2"/>
    <n v="-2"/>
    <n v="0"/>
    <n v="38"/>
    <n v="0"/>
    <m/>
    <n v="0"/>
    <n v="1"/>
    <n v="653"/>
    <n v="29"/>
    <x v="4"/>
    <n v="1"/>
    <n v="4"/>
    <n v="50"/>
    <n v="3"/>
    <n v="2"/>
    <n v="2"/>
    <n v="2406"/>
    <n v="5456"/>
    <n v="1"/>
    <n v="11"/>
    <n v="3"/>
    <n v="4"/>
    <n v="80"/>
    <n v="0"/>
    <n v="10"/>
    <n v="3"/>
    <n v="10"/>
    <n v="3"/>
    <n v="9"/>
    <n v="9"/>
  </r>
  <r>
    <x v="1"/>
    <s v="Travel_Rarely"/>
    <x v="1"/>
    <s v="Current Employees"/>
    <x v="1"/>
    <x v="2"/>
    <s v="STAFF-80"/>
    <n v="80"/>
    <x v="0"/>
    <x v="7"/>
    <x v="2"/>
    <s v="Yes"/>
    <s v="Y"/>
    <n v="2"/>
    <n v="-2"/>
    <n v="0"/>
    <n v="50"/>
    <n v="0"/>
    <m/>
    <n v="0"/>
    <n v="1"/>
    <n v="989"/>
    <n v="7"/>
    <x v="0"/>
    <n v="1"/>
    <n v="2"/>
    <n v="43"/>
    <n v="2"/>
    <n v="5"/>
    <n v="3"/>
    <n v="18740"/>
    <n v="16701"/>
    <n v="5"/>
    <n v="12"/>
    <n v="3"/>
    <n v="4"/>
    <n v="80"/>
    <n v="1"/>
    <n v="29"/>
    <n v="2"/>
    <n v="27"/>
    <n v="3"/>
    <n v="13"/>
    <n v="8"/>
  </r>
  <r>
    <x v="1"/>
    <s v="Travel_Rarely"/>
    <x v="3"/>
    <s v="Current Employees"/>
    <x v="0"/>
    <x v="0"/>
    <s v="STAFF-81"/>
    <n v="81"/>
    <x v="0"/>
    <x v="0"/>
    <x v="0"/>
    <s v="No"/>
    <s v="Y"/>
    <n v="3"/>
    <n v="-2"/>
    <n v="0"/>
    <n v="59"/>
    <n v="0"/>
    <m/>
    <n v="0"/>
    <n v="1"/>
    <n v="1435"/>
    <n v="25"/>
    <x v="3"/>
    <n v="1"/>
    <n v="1"/>
    <n v="99"/>
    <n v="3"/>
    <n v="3"/>
    <n v="2"/>
    <n v="7637"/>
    <n v="2354"/>
    <n v="7"/>
    <n v="11"/>
    <n v="3"/>
    <n v="4"/>
    <n v="80"/>
    <n v="0"/>
    <n v="28"/>
    <n v="2"/>
    <n v="21"/>
    <n v="16"/>
    <n v="7"/>
    <n v="9"/>
  </r>
  <r>
    <x v="1"/>
    <s v="Travel_Rarely"/>
    <x v="0"/>
    <s v="Current Employees"/>
    <x v="1"/>
    <x v="4"/>
    <s v="STAFF-83"/>
    <n v="83"/>
    <x v="0"/>
    <x v="4"/>
    <x v="2"/>
    <s v="No"/>
    <s v="Y"/>
    <n v="2"/>
    <n v="-2"/>
    <n v="0"/>
    <n v="36"/>
    <n v="0"/>
    <m/>
    <n v="0"/>
    <n v="1"/>
    <n v="1223"/>
    <n v="8"/>
    <x v="3"/>
    <n v="1"/>
    <n v="3"/>
    <n v="59"/>
    <n v="3"/>
    <n v="3"/>
    <n v="3"/>
    <n v="10096"/>
    <n v="8202"/>
    <n v="1"/>
    <n v="13"/>
    <n v="3"/>
    <n v="2"/>
    <n v="80"/>
    <n v="3"/>
    <n v="17"/>
    <n v="3"/>
    <n v="17"/>
    <n v="14"/>
    <n v="12"/>
    <n v="8"/>
  </r>
  <r>
    <x v="1"/>
    <s v="Travel_Rarely"/>
    <x v="3"/>
    <s v="Current Employees"/>
    <x v="1"/>
    <x v="2"/>
    <s v="STAFF-84"/>
    <n v="84"/>
    <x v="0"/>
    <x v="5"/>
    <x v="2"/>
    <s v="Yes"/>
    <s v="Y"/>
    <n v="2"/>
    <n v="-2"/>
    <n v="0"/>
    <n v="55"/>
    <n v="0"/>
    <m/>
    <n v="0"/>
    <n v="1"/>
    <n v="836"/>
    <n v="8"/>
    <x v="3"/>
    <n v="1"/>
    <n v="4"/>
    <n v="33"/>
    <n v="3"/>
    <n v="4"/>
    <n v="3"/>
    <n v="14756"/>
    <n v="19730"/>
    <n v="2"/>
    <n v="14"/>
    <n v="3"/>
    <n v="3"/>
    <n v="80"/>
    <n v="3"/>
    <n v="21"/>
    <n v="3"/>
    <n v="5"/>
    <n v="0"/>
    <n v="0"/>
    <n v="2"/>
  </r>
  <r>
    <x v="1"/>
    <s v="Travel_Frequently"/>
    <x v="0"/>
    <s v="Current Employees"/>
    <x v="1"/>
    <x v="0"/>
    <s v="STAFF-85"/>
    <n v="85"/>
    <x v="1"/>
    <x v="3"/>
    <x v="0"/>
    <s v="No"/>
    <s v="Y"/>
    <n v="3"/>
    <n v="-2"/>
    <n v="0"/>
    <n v="36"/>
    <n v="0"/>
    <m/>
    <n v="0"/>
    <n v="1"/>
    <n v="1195"/>
    <n v="11"/>
    <x v="3"/>
    <n v="1"/>
    <n v="2"/>
    <n v="95"/>
    <n v="2"/>
    <n v="2"/>
    <n v="2"/>
    <n v="6499"/>
    <n v="22656"/>
    <n v="1"/>
    <n v="13"/>
    <n v="3"/>
    <n v="3"/>
    <n v="80"/>
    <n v="0"/>
    <n v="6"/>
    <n v="3"/>
    <n v="6"/>
    <n v="5"/>
    <n v="0"/>
    <n v="3"/>
  </r>
  <r>
    <x v="1"/>
    <s v="Travel_Rarely"/>
    <x v="1"/>
    <s v="Current Employees"/>
    <x v="1"/>
    <x v="0"/>
    <s v="STAFF-86"/>
    <n v="86"/>
    <x v="1"/>
    <x v="1"/>
    <x v="2"/>
    <s v="No"/>
    <s v="Y"/>
    <n v="2"/>
    <n v="-2"/>
    <n v="0"/>
    <n v="45"/>
    <n v="0"/>
    <m/>
    <n v="0"/>
    <n v="1"/>
    <n v="1339"/>
    <n v="7"/>
    <x v="3"/>
    <n v="1"/>
    <n v="2"/>
    <n v="59"/>
    <n v="3"/>
    <n v="3"/>
    <n v="2"/>
    <n v="9724"/>
    <n v="18787"/>
    <n v="2"/>
    <n v="17"/>
    <n v="3"/>
    <n v="3"/>
    <n v="80"/>
    <n v="1"/>
    <n v="25"/>
    <n v="3"/>
    <n v="1"/>
    <n v="0"/>
    <n v="0"/>
    <n v="0"/>
  </r>
  <r>
    <x v="1"/>
    <s v="Travel_Frequently"/>
    <x v="0"/>
    <s v="Current Employees"/>
    <x v="1"/>
    <x v="2"/>
    <s v="STAFF-88"/>
    <n v="88"/>
    <x v="1"/>
    <x v="1"/>
    <x v="1"/>
    <s v="No"/>
    <s v="Y"/>
    <n v="2"/>
    <n v="-2"/>
    <n v="0"/>
    <n v="35"/>
    <n v="0"/>
    <m/>
    <n v="0"/>
    <n v="1"/>
    <n v="664"/>
    <n v="1"/>
    <x v="3"/>
    <n v="1"/>
    <n v="2"/>
    <n v="79"/>
    <n v="3"/>
    <n v="1"/>
    <n v="4"/>
    <n v="2194"/>
    <n v="5868"/>
    <n v="4"/>
    <n v="13"/>
    <n v="3"/>
    <n v="4"/>
    <n v="80"/>
    <n v="1"/>
    <n v="5"/>
    <n v="2"/>
    <n v="3"/>
    <n v="2"/>
    <n v="1"/>
    <n v="2"/>
  </r>
  <r>
    <x v="0"/>
    <s v="Travel_Rarely"/>
    <x v="0"/>
    <s v="Ex-Employees"/>
    <x v="1"/>
    <x v="2"/>
    <s v="STAFF-90"/>
    <n v="90"/>
    <x v="1"/>
    <x v="1"/>
    <x v="1"/>
    <s v="Yes"/>
    <s v="Y"/>
    <n v="0"/>
    <n v="-2"/>
    <n v="0"/>
    <n v="36"/>
    <n v="1"/>
    <n v="1"/>
    <n v="1"/>
    <n v="0"/>
    <n v="318"/>
    <n v="9"/>
    <x v="3"/>
    <n v="1"/>
    <n v="4"/>
    <n v="79"/>
    <n v="2"/>
    <n v="1"/>
    <n v="3"/>
    <n v="3388"/>
    <n v="21777"/>
    <n v="0"/>
    <n v="17"/>
    <n v="3"/>
    <n v="1"/>
    <n v="80"/>
    <n v="1"/>
    <n v="2"/>
    <n v="2"/>
    <n v="1"/>
    <n v="0"/>
    <n v="0"/>
    <n v="0"/>
  </r>
  <r>
    <x v="1"/>
    <s v="Travel_Frequently"/>
    <x v="3"/>
    <s v="Current Employees"/>
    <x v="0"/>
    <x v="0"/>
    <s v="STAFF-91"/>
    <n v="91"/>
    <x v="0"/>
    <x v="0"/>
    <x v="0"/>
    <s v="No"/>
    <s v="Y"/>
    <n v="2"/>
    <n v="-2"/>
    <n v="0"/>
    <n v="59"/>
    <n v="0"/>
    <m/>
    <n v="0"/>
    <n v="1"/>
    <n v="1225"/>
    <n v="1"/>
    <x v="1"/>
    <n v="1"/>
    <n v="1"/>
    <n v="57"/>
    <n v="2"/>
    <n v="2"/>
    <n v="2"/>
    <n v="5473"/>
    <n v="24668"/>
    <n v="7"/>
    <n v="11"/>
    <n v="3"/>
    <n v="4"/>
    <n v="80"/>
    <n v="0"/>
    <n v="20"/>
    <n v="2"/>
    <n v="4"/>
    <n v="3"/>
    <n v="1"/>
    <n v="3"/>
  </r>
  <r>
    <x v="1"/>
    <s v="Travel_Rarely"/>
    <x v="2"/>
    <s v="Current Employees"/>
    <x v="1"/>
    <x v="0"/>
    <s v="STAFF-94"/>
    <n v="94"/>
    <x v="1"/>
    <x v="1"/>
    <x v="1"/>
    <s v="No"/>
    <s v="Y"/>
    <n v="3"/>
    <n v="-2"/>
    <n v="0"/>
    <n v="29"/>
    <n v="0"/>
    <m/>
    <n v="0"/>
    <n v="1"/>
    <n v="1328"/>
    <n v="2"/>
    <x v="3"/>
    <n v="1"/>
    <n v="3"/>
    <n v="76"/>
    <n v="3"/>
    <n v="1"/>
    <n v="2"/>
    <n v="2703"/>
    <n v="4956"/>
    <n v="0"/>
    <n v="23"/>
    <n v="4"/>
    <n v="4"/>
    <n v="80"/>
    <n v="1"/>
    <n v="6"/>
    <n v="3"/>
    <n v="5"/>
    <n v="4"/>
    <n v="0"/>
    <n v="4"/>
  </r>
  <r>
    <x v="1"/>
    <s v="Travel_Rarely"/>
    <x v="2"/>
    <s v="Current Employees"/>
    <x v="1"/>
    <x v="2"/>
    <s v="STAFF-95"/>
    <n v="95"/>
    <x v="1"/>
    <x v="1"/>
    <x v="0"/>
    <s v="No"/>
    <s v="Y"/>
    <n v="4"/>
    <n v="-2"/>
    <n v="0"/>
    <n v="31"/>
    <n v="0"/>
    <m/>
    <n v="0"/>
    <n v="1"/>
    <n v="1082"/>
    <n v="1"/>
    <x v="2"/>
    <n v="1"/>
    <n v="3"/>
    <n v="87"/>
    <n v="3"/>
    <n v="1"/>
    <n v="3"/>
    <n v="2501"/>
    <n v="18775"/>
    <n v="1"/>
    <n v="17"/>
    <n v="3"/>
    <n v="2"/>
    <n v="80"/>
    <n v="0"/>
    <n v="1"/>
    <n v="3"/>
    <n v="1"/>
    <n v="1"/>
    <n v="1"/>
    <n v="0"/>
  </r>
  <r>
    <x v="1"/>
    <s v="Travel_Rarely"/>
    <x v="2"/>
    <s v="Current Employees"/>
    <x v="1"/>
    <x v="0"/>
    <s v="STAFF-96"/>
    <n v="96"/>
    <x v="1"/>
    <x v="1"/>
    <x v="1"/>
    <s v="No"/>
    <s v="Y"/>
    <n v="3"/>
    <n v="-2"/>
    <n v="0"/>
    <n v="32"/>
    <n v="0"/>
    <m/>
    <n v="0"/>
    <n v="1"/>
    <n v="548"/>
    <n v="1"/>
    <x v="3"/>
    <n v="1"/>
    <n v="2"/>
    <n v="66"/>
    <n v="3"/>
    <n v="2"/>
    <n v="2"/>
    <n v="6220"/>
    <n v="7346"/>
    <n v="1"/>
    <n v="17"/>
    <n v="3"/>
    <n v="2"/>
    <n v="80"/>
    <n v="2"/>
    <n v="10"/>
    <n v="3"/>
    <n v="10"/>
    <n v="4"/>
    <n v="0"/>
    <n v="9"/>
  </r>
  <r>
    <x v="1"/>
    <s v="Travel_Rarely"/>
    <x v="0"/>
    <s v="Current Employees"/>
    <x v="1"/>
    <x v="0"/>
    <s v="STAFF-97"/>
    <n v="97"/>
    <x v="0"/>
    <x v="2"/>
    <x v="1"/>
    <s v="No"/>
    <s v="Y"/>
    <n v="3"/>
    <n v="-2"/>
    <n v="0"/>
    <n v="36"/>
    <n v="0"/>
    <m/>
    <n v="0"/>
    <n v="1"/>
    <n v="132"/>
    <n v="6"/>
    <x v="3"/>
    <n v="1"/>
    <n v="2"/>
    <n v="55"/>
    <n v="4"/>
    <n v="1"/>
    <n v="2"/>
    <n v="3038"/>
    <n v="22002"/>
    <n v="3"/>
    <n v="12"/>
    <n v="3"/>
    <n v="2"/>
    <n v="80"/>
    <n v="0"/>
    <n v="5"/>
    <n v="3"/>
    <n v="1"/>
    <n v="0"/>
    <n v="0"/>
    <n v="0"/>
  </r>
  <r>
    <x v="1"/>
    <s v="Travel_Rarely"/>
    <x v="2"/>
    <s v="Current Employees"/>
    <x v="1"/>
    <x v="0"/>
    <s v="STAFF-98"/>
    <n v="98"/>
    <x v="0"/>
    <x v="3"/>
    <x v="0"/>
    <s v="No"/>
    <s v="Y"/>
    <n v="2"/>
    <n v="-2"/>
    <n v="0"/>
    <n v="31"/>
    <n v="0"/>
    <m/>
    <n v="0"/>
    <n v="1"/>
    <n v="746"/>
    <n v="8"/>
    <x v="2"/>
    <n v="1"/>
    <n v="3"/>
    <n v="61"/>
    <n v="3"/>
    <n v="2"/>
    <n v="2"/>
    <n v="4424"/>
    <n v="20682"/>
    <n v="1"/>
    <n v="23"/>
    <n v="4"/>
    <n v="4"/>
    <n v="80"/>
    <n v="0"/>
    <n v="11"/>
    <n v="3"/>
    <n v="11"/>
    <n v="7"/>
    <n v="1"/>
    <n v="8"/>
  </r>
  <r>
    <x v="1"/>
    <s v="Travel_Rarely"/>
    <x v="0"/>
    <s v="Current Employees"/>
    <x v="0"/>
    <x v="3"/>
    <s v="STAFF-100"/>
    <n v="100"/>
    <x v="1"/>
    <x v="0"/>
    <x v="0"/>
    <s v="No"/>
    <s v="Y"/>
    <n v="2"/>
    <n v="-2"/>
    <n v="0"/>
    <n v="35"/>
    <n v="0"/>
    <m/>
    <n v="0"/>
    <n v="1"/>
    <n v="776"/>
    <n v="1"/>
    <x v="2"/>
    <n v="1"/>
    <n v="3"/>
    <n v="32"/>
    <n v="2"/>
    <n v="2"/>
    <n v="4"/>
    <n v="4312"/>
    <n v="23016"/>
    <n v="0"/>
    <n v="14"/>
    <n v="3"/>
    <n v="2"/>
    <n v="80"/>
    <n v="0"/>
    <n v="16"/>
    <n v="3"/>
    <n v="15"/>
    <n v="13"/>
    <n v="2"/>
    <n v="8"/>
  </r>
  <r>
    <x v="1"/>
    <s v="Travel_Rarely"/>
    <x v="1"/>
    <s v="Current Employees"/>
    <x v="1"/>
    <x v="1"/>
    <s v="STAFF-101"/>
    <n v="101"/>
    <x v="1"/>
    <x v="7"/>
    <x v="1"/>
    <s v="Yes"/>
    <s v="Y"/>
    <n v="3"/>
    <n v="-2"/>
    <n v="0"/>
    <n v="45"/>
    <n v="0"/>
    <m/>
    <n v="0"/>
    <n v="1"/>
    <n v="193"/>
    <n v="6"/>
    <x v="2"/>
    <n v="1"/>
    <n v="4"/>
    <n v="52"/>
    <n v="3"/>
    <n v="3"/>
    <n v="4"/>
    <n v="13245"/>
    <n v="15067"/>
    <n v="4"/>
    <n v="14"/>
    <n v="3"/>
    <n v="2"/>
    <n v="80"/>
    <n v="0"/>
    <n v="17"/>
    <n v="4"/>
    <n v="0"/>
    <n v="0"/>
    <n v="0"/>
    <n v="0"/>
  </r>
  <r>
    <x v="1"/>
    <s v="Travel_Rarely"/>
    <x v="0"/>
    <s v="Current Employees"/>
    <x v="1"/>
    <x v="2"/>
    <s v="STAFF-102"/>
    <n v="102"/>
    <x v="1"/>
    <x v="7"/>
    <x v="0"/>
    <s v="No"/>
    <s v="Y"/>
    <n v="3"/>
    <n v="-2"/>
    <n v="0"/>
    <n v="37"/>
    <n v="0"/>
    <m/>
    <n v="0"/>
    <n v="1"/>
    <n v="397"/>
    <n v="7"/>
    <x v="2"/>
    <n v="1"/>
    <n v="1"/>
    <n v="30"/>
    <n v="3"/>
    <n v="3"/>
    <n v="3"/>
    <n v="13664"/>
    <n v="25258"/>
    <n v="4"/>
    <n v="13"/>
    <n v="3"/>
    <n v="1"/>
    <n v="80"/>
    <n v="0"/>
    <n v="16"/>
    <n v="4"/>
    <n v="5"/>
    <n v="2"/>
    <n v="0"/>
    <n v="2"/>
  </r>
  <r>
    <x v="1"/>
    <s v="Travel_Rarely"/>
    <x v="1"/>
    <s v="Current Employees"/>
    <x v="2"/>
    <x v="2"/>
    <s v="STAFF-103"/>
    <n v="103"/>
    <x v="1"/>
    <x v="8"/>
    <x v="2"/>
    <s v="Yes"/>
    <s v="Y"/>
    <n v="2"/>
    <n v="-2"/>
    <n v="0"/>
    <n v="46"/>
    <n v="0"/>
    <m/>
    <n v="0"/>
    <n v="1"/>
    <n v="945"/>
    <n v="5"/>
    <x v="0"/>
    <n v="1"/>
    <n v="2"/>
    <n v="80"/>
    <n v="3"/>
    <n v="2"/>
    <n v="3"/>
    <n v="5021"/>
    <n v="10425"/>
    <n v="8"/>
    <n v="22"/>
    <n v="4"/>
    <n v="4"/>
    <n v="80"/>
    <n v="1"/>
    <n v="16"/>
    <n v="3"/>
    <n v="4"/>
    <n v="2"/>
    <n v="0"/>
    <n v="2"/>
  </r>
  <r>
    <x v="1"/>
    <s v="Travel_Rarely"/>
    <x v="2"/>
    <s v="Current Employees"/>
    <x v="1"/>
    <x v="0"/>
    <s v="STAFF-104"/>
    <n v="104"/>
    <x v="1"/>
    <x v="2"/>
    <x v="1"/>
    <s v="Yes"/>
    <s v="Y"/>
    <n v="1"/>
    <n v="-2"/>
    <n v="0"/>
    <n v="30"/>
    <n v="0"/>
    <m/>
    <n v="0"/>
    <n v="1"/>
    <n v="852"/>
    <n v="1"/>
    <x v="1"/>
    <n v="1"/>
    <n v="4"/>
    <n v="55"/>
    <n v="2"/>
    <n v="2"/>
    <n v="2"/>
    <n v="5126"/>
    <n v="15998"/>
    <n v="1"/>
    <n v="12"/>
    <n v="3"/>
    <n v="3"/>
    <n v="80"/>
    <n v="2"/>
    <n v="10"/>
    <n v="2"/>
    <n v="10"/>
    <n v="8"/>
    <n v="3"/>
    <n v="0"/>
  </r>
  <r>
    <x v="1"/>
    <s v="Travel_Rarely"/>
    <x v="0"/>
    <s v="Current Employees"/>
    <x v="1"/>
    <x v="2"/>
    <s v="STAFF-105"/>
    <n v="105"/>
    <x v="1"/>
    <x v="1"/>
    <x v="0"/>
    <s v="No"/>
    <s v="Y"/>
    <n v="3"/>
    <n v="-2"/>
    <n v="0"/>
    <n v="35"/>
    <n v="0"/>
    <m/>
    <n v="0"/>
    <n v="1"/>
    <n v="1214"/>
    <n v="1"/>
    <x v="3"/>
    <n v="1"/>
    <n v="2"/>
    <n v="30"/>
    <n v="2"/>
    <n v="1"/>
    <n v="3"/>
    <n v="2859"/>
    <n v="26278"/>
    <n v="1"/>
    <n v="18"/>
    <n v="3"/>
    <n v="1"/>
    <n v="80"/>
    <n v="0"/>
    <n v="6"/>
    <n v="3"/>
    <n v="6"/>
    <n v="4"/>
    <n v="0"/>
    <n v="4"/>
  </r>
  <r>
    <x v="1"/>
    <s v="Travel_Rarely"/>
    <x v="3"/>
    <s v="Current Employees"/>
    <x v="0"/>
    <x v="0"/>
    <s v="STAFF-106"/>
    <n v="106"/>
    <x v="1"/>
    <x v="0"/>
    <x v="1"/>
    <s v="No"/>
    <s v="Y"/>
    <n v="4"/>
    <n v="-2"/>
    <n v="0"/>
    <n v="55"/>
    <n v="0"/>
    <m/>
    <n v="0"/>
    <n v="1"/>
    <n v="111"/>
    <n v="1"/>
    <x v="0"/>
    <n v="1"/>
    <n v="1"/>
    <n v="70"/>
    <n v="3"/>
    <n v="3"/>
    <n v="2"/>
    <n v="10239"/>
    <n v="18092"/>
    <n v="3"/>
    <n v="14"/>
    <n v="3"/>
    <n v="4"/>
    <n v="80"/>
    <n v="1"/>
    <n v="24"/>
    <n v="3"/>
    <n v="1"/>
    <n v="0"/>
    <n v="1"/>
    <n v="0"/>
  </r>
  <r>
    <x v="1"/>
    <s v="Non-Travel"/>
    <x v="0"/>
    <s v="Current Employees"/>
    <x v="1"/>
    <x v="2"/>
    <s v="STAFF-107"/>
    <n v="107"/>
    <x v="0"/>
    <x v="1"/>
    <x v="2"/>
    <s v="Yes"/>
    <s v="Y"/>
    <n v="3"/>
    <n v="-2"/>
    <n v="0"/>
    <n v="38"/>
    <n v="0"/>
    <m/>
    <n v="0"/>
    <n v="1"/>
    <n v="573"/>
    <n v="6"/>
    <x v="3"/>
    <n v="1"/>
    <n v="2"/>
    <n v="79"/>
    <n v="1"/>
    <n v="2"/>
    <n v="4"/>
    <n v="5329"/>
    <n v="15717"/>
    <n v="7"/>
    <n v="12"/>
    <n v="3"/>
    <n v="4"/>
    <n v="80"/>
    <n v="3"/>
    <n v="17"/>
    <n v="3"/>
    <n v="13"/>
    <n v="11"/>
    <n v="1"/>
    <n v="9"/>
  </r>
  <r>
    <x v="1"/>
    <s v="Travel_Rarely"/>
    <x v="2"/>
    <s v="Current Employees"/>
    <x v="1"/>
    <x v="2"/>
    <s v="STAFF-110"/>
    <n v="110"/>
    <x v="1"/>
    <x v="3"/>
    <x v="1"/>
    <s v="No"/>
    <s v="Y"/>
    <n v="2"/>
    <n v="-2"/>
    <n v="0"/>
    <n v="34"/>
    <n v="0"/>
    <m/>
    <n v="0"/>
    <n v="1"/>
    <n v="1153"/>
    <n v="1"/>
    <x v="0"/>
    <n v="1"/>
    <n v="1"/>
    <n v="94"/>
    <n v="3"/>
    <n v="2"/>
    <n v="3"/>
    <n v="4325"/>
    <n v="17736"/>
    <n v="1"/>
    <n v="15"/>
    <n v="3"/>
    <n v="3"/>
    <n v="80"/>
    <n v="0"/>
    <n v="5"/>
    <n v="3"/>
    <n v="5"/>
    <n v="2"/>
    <n v="1"/>
    <n v="3"/>
  </r>
  <r>
    <x v="1"/>
    <s v="Travel_Rarely"/>
    <x v="3"/>
    <s v="Current Employees"/>
    <x v="1"/>
    <x v="0"/>
    <s v="STAFF-112"/>
    <n v="112"/>
    <x v="1"/>
    <x v="3"/>
    <x v="0"/>
    <s v="No"/>
    <s v="Y"/>
    <n v="3"/>
    <n v="-2"/>
    <n v="0"/>
    <n v="56"/>
    <n v="0"/>
    <m/>
    <n v="0"/>
    <n v="1"/>
    <n v="1400"/>
    <n v="7"/>
    <x v="3"/>
    <n v="1"/>
    <n v="4"/>
    <n v="49"/>
    <n v="1"/>
    <n v="3"/>
    <n v="2"/>
    <n v="7260"/>
    <n v="21698"/>
    <n v="4"/>
    <n v="11"/>
    <n v="3"/>
    <n v="1"/>
    <n v="80"/>
    <n v="0"/>
    <n v="37"/>
    <n v="2"/>
    <n v="6"/>
    <n v="4"/>
    <n v="0"/>
    <n v="2"/>
  </r>
  <r>
    <x v="1"/>
    <s v="Travel_Rarely"/>
    <x v="4"/>
    <s v="Current Employees"/>
    <x v="0"/>
    <x v="4"/>
    <s v="STAFF-113"/>
    <n v="113"/>
    <x v="1"/>
    <x v="6"/>
    <x v="2"/>
    <s v="No"/>
    <s v="Y"/>
    <n v="3"/>
    <n v="-2"/>
    <n v="0"/>
    <n v="23"/>
    <n v="0"/>
    <m/>
    <n v="0"/>
    <n v="1"/>
    <n v="541"/>
    <n v="2"/>
    <x v="1"/>
    <n v="1"/>
    <n v="3"/>
    <n v="62"/>
    <n v="3"/>
    <n v="1"/>
    <n v="4"/>
    <n v="2322"/>
    <n v="9518"/>
    <n v="3"/>
    <n v="13"/>
    <n v="3"/>
    <n v="3"/>
    <n v="80"/>
    <n v="1"/>
    <n v="3"/>
    <n v="3"/>
    <n v="0"/>
    <n v="0"/>
    <n v="0"/>
    <n v="0"/>
  </r>
  <r>
    <x v="1"/>
    <s v="Travel_Rarely"/>
    <x v="1"/>
    <s v="Current Employees"/>
    <x v="1"/>
    <x v="0"/>
    <s v="STAFF-116"/>
    <n v="116"/>
    <x v="1"/>
    <x v="2"/>
    <x v="1"/>
    <s v="No"/>
    <s v="Y"/>
    <n v="4"/>
    <n v="-2"/>
    <n v="0"/>
    <n v="51"/>
    <n v="0"/>
    <m/>
    <n v="0"/>
    <n v="1"/>
    <n v="432"/>
    <n v="9"/>
    <x v="2"/>
    <n v="1"/>
    <n v="4"/>
    <n v="96"/>
    <n v="3"/>
    <n v="1"/>
    <n v="2"/>
    <n v="2075"/>
    <n v="18725"/>
    <n v="3"/>
    <n v="23"/>
    <n v="4"/>
    <n v="2"/>
    <n v="80"/>
    <n v="2"/>
    <n v="10"/>
    <n v="3"/>
    <n v="4"/>
    <n v="2"/>
    <n v="0"/>
    <n v="3"/>
  </r>
  <r>
    <x v="1"/>
    <s v="Travel_Rarely"/>
    <x v="2"/>
    <s v="Current Employees"/>
    <x v="1"/>
    <x v="0"/>
    <s v="STAFF-117"/>
    <n v="117"/>
    <x v="1"/>
    <x v="4"/>
    <x v="1"/>
    <s v="No"/>
    <s v="Y"/>
    <n v="3"/>
    <n v="-2"/>
    <n v="0"/>
    <n v="30"/>
    <n v="0"/>
    <m/>
    <n v="0"/>
    <n v="1"/>
    <n v="288"/>
    <n v="2"/>
    <x v="3"/>
    <n v="1"/>
    <n v="3"/>
    <n v="99"/>
    <n v="2"/>
    <n v="2"/>
    <n v="2"/>
    <n v="4152"/>
    <n v="15830"/>
    <n v="1"/>
    <n v="19"/>
    <n v="3"/>
    <n v="1"/>
    <n v="80"/>
    <n v="3"/>
    <n v="11"/>
    <n v="3"/>
    <n v="11"/>
    <n v="10"/>
    <n v="10"/>
    <n v="8"/>
  </r>
  <r>
    <x v="0"/>
    <s v="Travel_Rarely"/>
    <x v="1"/>
    <s v="Ex-Employees"/>
    <x v="0"/>
    <x v="2"/>
    <s v="STAFF-118"/>
    <n v="118"/>
    <x v="1"/>
    <x v="0"/>
    <x v="0"/>
    <s v="No"/>
    <s v="Y"/>
    <n v="3"/>
    <n v="-2"/>
    <n v="0"/>
    <n v="46"/>
    <n v="1"/>
    <n v="1"/>
    <n v="1"/>
    <n v="0"/>
    <n v="669"/>
    <n v="9"/>
    <x v="0"/>
    <n v="1"/>
    <n v="3"/>
    <n v="64"/>
    <n v="2"/>
    <n v="3"/>
    <n v="4"/>
    <n v="9619"/>
    <n v="13596"/>
    <n v="1"/>
    <n v="16"/>
    <n v="3"/>
    <n v="4"/>
    <n v="80"/>
    <n v="0"/>
    <n v="9"/>
    <n v="3"/>
    <n v="9"/>
    <n v="8"/>
    <n v="4"/>
    <n v="7"/>
  </r>
  <r>
    <x v="1"/>
    <s v="Travel_Frequently"/>
    <x v="0"/>
    <s v="Current Employees"/>
    <x v="1"/>
    <x v="0"/>
    <s v="STAFF-119"/>
    <n v="119"/>
    <x v="1"/>
    <x v="4"/>
    <x v="1"/>
    <s v="No"/>
    <s v="Y"/>
    <n v="3"/>
    <n v="-2"/>
    <n v="0"/>
    <n v="40"/>
    <n v="0"/>
    <m/>
    <n v="0"/>
    <n v="1"/>
    <n v="530"/>
    <n v="1"/>
    <x v="2"/>
    <n v="1"/>
    <n v="3"/>
    <n v="78"/>
    <n v="2"/>
    <n v="4"/>
    <n v="2"/>
    <n v="13503"/>
    <n v="14115"/>
    <n v="1"/>
    <n v="22"/>
    <n v="4"/>
    <n v="4"/>
    <n v="80"/>
    <n v="1"/>
    <n v="22"/>
    <n v="2"/>
    <n v="22"/>
    <n v="3"/>
    <n v="11"/>
    <n v="11"/>
  </r>
  <r>
    <x v="1"/>
    <s v="Travel_Rarely"/>
    <x v="1"/>
    <s v="Current Employees"/>
    <x v="0"/>
    <x v="3"/>
    <s v="STAFF-120"/>
    <n v="120"/>
    <x v="1"/>
    <x v="0"/>
    <x v="0"/>
    <s v="Yes"/>
    <s v="Y"/>
    <n v="2"/>
    <n v="-2"/>
    <n v="0"/>
    <n v="51"/>
    <n v="0"/>
    <m/>
    <n v="0"/>
    <n v="1"/>
    <n v="632"/>
    <n v="21"/>
    <x v="2"/>
    <n v="1"/>
    <n v="3"/>
    <n v="71"/>
    <n v="3"/>
    <n v="2"/>
    <n v="4"/>
    <n v="5441"/>
    <n v="8423"/>
    <n v="0"/>
    <n v="22"/>
    <n v="4"/>
    <n v="4"/>
    <n v="80"/>
    <n v="0"/>
    <n v="11"/>
    <n v="1"/>
    <n v="10"/>
    <n v="7"/>
    <n v="1"/>
    <n v="0"/>
  </r>
  <r>
    <x v="1"/>
    <s v="Travel_Rarely"/>
    <x v="2"/>
    <s v="Current Employees"/>
    <x v="0"/>
    <x v="2"/>
    <s v="STAFF-121"/>
    <n v="121"/>
    <x v="0"/>
    <x v="0"/>
    <x v="2"/>
    <s v="Yes"/>
    <s v="Y"/>
    <n v="4"/>
    <n v="-2"/>
    <n v="0"/>
    <n v="30"/>
    <n v="0"/>
    <m/>
    <n v="0"/>
    <n v="1"/>
    <n v="1334"/>
    <n v="4"/>
    <x v="0"/>
    <n v="1"/>
    <n v="3"/>
    <n v="63"/>
    <n v="2"/>
    <n v="2"/>
    <n v="3"/>
    <n v="5209"/>
    <n v="19760"/>
    <n v="1"/>
    <n v="12"/>
    <n v="3"/>
    <n v="2"/>
    <n v="80"/>
    <n v="3"/>
    <n v="11"/>
    <n v="2"/>
    <n v="11"/>
    <n v="8"/>
    <n v="2"/>
    <n v="7"/>
  </r>
  <r>
    <x v="1"/>
    <s v="Travel_Frequently"/>
    <x v="1"/>
    <s v="Current Employees"/>
    <x v="1"/>
    <x v="2"/>
    <s v="STAFF-124"/>
    <n v="124"/>
    <x v="1"/>
    <x v="4"/>
    <x v="1"/>
    <s v="Yes"/>
    <s v="Y"/>
    <n v="5"/>
    <n v="-2"/>
    <n v="0"/>
    <n v="46"/>
    <n v="0"/>
    <m/>
    <n v="0"/>
    <n v="1"/>
    <n v="638"/>
    <n v="1"/>
    <x v="3"/>
    <n v="1"/>
    <n v="3"/>
    <n v="40"/>
    <n v="2"/>
    <n v="3"/>
    <n v="4"/>
    <n v="10673"/>
    <n v="3142"/>
    <n v="2"/>
    <n v="13"/>
    <n v="3"/>
    <n v="3"/>
    <n v="80"/>
    <n v="1"/>
    <n v="21"/>
    <n v="2"/>
    <n v="10"/>
    <n v="9"/>
    <n v="9"/>
    <n v="5"/>
  </r>
  <r>
    <x v="1"/>
    <s v="Travel_Rarely"/>
    <x v="2"/>
    <s v="Current Employees"/>
    <x v="0"/>
    <x v="2"/>
    <s v="STAFF-125"/>
    <n v="125"/>
    <x v="1"/>
    <x v="0"/>
    <x v="0"/>
    <s v="No"/>
    <s v="Y"/>
    <n v="0"/>
    <n v="-2"/>
    <n v="0"/>
    <n v="32"/>
    <n v="0"/>
    <m/>
    <n v="0"/>
    <n v="1"/>
    <n v="1093"/>
    <n v="6"/>
    <x v="2"/>
    <n v="1"/>
    <n v="2"/>
    <n v="87"/>
    <n v="3"/>
    <n v="2"/>
    <n v="3"/>
    <n v="5010"/>
    <n v="24301"/>
    <n v="1"/>
    <n v="16"/>
    <n v="3"/>
    <n v="1"/>
    <n v="80"/>
    <n v="0"/>
    <n v="12"/>
    <n v="3"/>
    <n v="11"/>
    <n v="8"/>
    <n v="5"/>
    <n v="7"/>
  </r>
  <r>
    <x v="1"/>
    <s v="Travel_Rarely"/>
    <x v="1"/>
    <s v="Current Employees"/>
    <x v="1"/>
    <x v="4"/>
    <s v="STAFF-126"/>
    <n v="126"/>
    <x v="0"/>
    <x v="7"/>
    <x v="1"/>
    <s v="No"/>
    <s v="Y"/>
    <n v="5"/>
    <n v="-2"/>
    <n v="0"/>
    <n v="54"/>
    <n v="0"/>
    <m/>
    <n v="0"/>
    <n v="1"/>
    <n v="1217"/>
    <n v="2"/>
    <x v="2"/>
    <n v="1"/>
    <n v="1"/>
    <n v="60"/>
    <n v="3"/>
    <n v="3"/>
    <n v="3"/>
    <n v="13549"/>
    <n v="24001"/>
    <n v="9"/>
    <n v="12"/>
    <n v="3"/>
    <n v="1"/>
    <n v="80"/>
    <n v="1"/>
    <n v="16"/>
    <n v="1"/>
    <n v="4"/>
    <n v="3"/>
    <n v="0"/>
    <n v="3"/>
  </r>
  <r>
    <x v="1"/>
    <s v="Travel_Rarely"/>
    <x v="4"/>
    <s v="Current Employees"/>
    <x v="0"/>
    <x v="1"/>
    <s v="STAFF-128"/>
    <n v="128"/>
    <x v="0"/>
    <x v="0"/>
    <x v="1"/>
    <s v="No"/>
    <s v="Y"/>
    <n v="2"/>
    <n v="-2"/>
    <n v="0"/>
    <n v="24"/>
    <n v="0"/>
    <m/>
    <n v="0"/>
    <n v="1"/>
    <n v="1353"/>
    <n v="3"/>
    <x v="0"/>
    <n v="1"/>
    <n v="1"/>
    <n v="33"/>
    <n v="3"/>
    <n v="2"/>
    <n v="3"/>
    <n v="4999"/>
    <n v="17519"/>
    <n v="0"/>
    <n v="21"/>
    <n v="4"/>
    <n v="1"/>
    <n v="80"/>
    <n v="1"/>
    <n v="4"/>
    <n v="2"/>
    <n v="3"/>
    <n v="2"/>
    <n v="0"/>
    <n v="2"/>
  </r>
  <r>
    <x v="1"/>
    <s v="Non-Travel"/>
    <x v="2"/>
    <s v="Current Employees"/>
    <x v="0"/>
    <x v="2"/>
    <s v="STAFF-129"/>
    <n v="129"/>
    <x v="1"/>
    <x v="0"/>
    <x v="1"/>
    <s v="No"/>
    <s v="Y"/>
    <n v="3"/>
    <n v="-2"/>
    <n v="0"/>
    <n v="28"/>
    <n v="0"/>
    <m/>
    <n v="0"/>
    <n v="1"/>
    <n v="120"/>
    <n v="4"/>
    <x v="3"/>
    <n v="1"/>
    <n v="2"/>
    <n v="43"/>
    <n v="3"/>
    <n v="2"/>
    <n v="3"/>
    <n v="4221"/>
    <n v="8863"/>
    <n v="1"/>
    <n v="15"/>
    <n v="3"/>
    <n v="2"/>
    <n v="80"/>
    <n v="0"/>
    <n v="5"/>
    <n v="4"/>
    <n v="5"/>
    <n v="4"/>
    <n v="0"/>
    <n v="4"/>
  </r>
  <r>
    <x v="1"/>
    <s v="Travel_Rarely"/>
    <x v="3"/>
    <s v="Current Employees"/>
    <x v="0"/>
    <x v="2"/>
    <s v="STAFF-131"/>
    <n v="131"/>
    <x v="1"/>
    <x v="0"/>
    <x v="0"/>
    <s v="No"/>
    <s v="Y"/>
    <n v="1"/>
    <n v="-2"/>
    <n v="0"/>
    <n v="58"/>
    <n v="0"/>
    <m/>
    <n v="0"/>
    <n v="1"/>
    <n v="682"/>
    <n v="10"/>
    <x v="2"/>
    <n v="1"/>
    <n v="4"/>
    <n v="37"/>
    <n v="3"/>
    <n v="4"/>
    <n v="3"/>
    <n v="13872"/>
    <n v="24409"/>
    <n v="0"/>
    <n v="13"/>
    <n v="3"/>
    <n v="3"/>
    <n v="80"/>
    <n v="0"/>
    <n v="38"/>
    <n v="2"/>
    <n v="37"/>
    <n v="10"/>
    <n v="1"/>
    <n v="8"/>
  </r>
  <r>
    <x v="1"/>
    <s v="Non-Travel"/>
    <x v="0"/>
    <s v="Current Employees"/>
    <x v="1"/>
    <x v="2"/>
    <s v="STAFF-132"/>
    <n v="132"/>
    <x v="1"/>
    <x v="2"/>
    <x v="1"/>
    <s v="No"/>
    <s v="Y"/>
    <n v="3"/>
    <n v="-2"/>
    <n v="0"/>
    <n v="44"/>
    <n v="0"/>
    <m/>
    <n v="0"/>
    <n v="1"/>
    <n v="489"/>
    <n v="23"/>
    <x v="3"/>
    <n v="1"/>
    <n v="2"/>
    <n v="67"/>
    <n v="3"/>
    <n v="2"/>
    <n v="3"/>
    <n v="2042"/>
    <n v="25043"/>
    <n v="4"/>
    <n v="12"/>
    <n v="3"/>
    <n v="3"/>
    <n v="80"/>
    <n v="1"/>
    <n v="17"/>
    <n v="4"/>
    <n v="3"/>
    <n v="2"/>
    <n v="1"/>
    <n v="2"/>
  </r>
  <r>
    <x v="0"/>
    <s v="Travel_Rarely"/>
    <x v="0"/>
    <s v="Ex-Employees"/>
    <x v="2"/>
    <x v="5"/>
    <s v="STAFF-133"/>
    <n v="133"/>
    <x v="1"/>
    <x v="8"/>
    <x v="2"/>
    <s v="Yes"/>
    <s v="Y"/>
    <n v="3"/>
    <n v="-2"/>
    <n v="0"/>
    <n v="37"/>
    <n v="1"/>
    <n v="1"/>
    <n v="1"/>
    <n v="0"/>
    <n v="807"/>
    <n v="6"/>
    <x v="2"/>
    <n v="1"/>
    <n v="3"/>
    <n v="63"/>
    <n v="3"/>
    <n v="1"/>
    <n v="4"/>
    <n v="2073"/>
    <n v="23648"/>
    <n v="4"/>
    <n v="22"/>
    <n v="4"/>
    <n v="4"/>
    <n v="80"/>
    <n v="0"/>
    <n v="7"/>
    <n v="3"/>
    <n v="3"/>
    <n v="2"/>
    <n v="0"/>
    <n v="2"/>
  </r>
  <r>
    <x v="1"/>
    <s v="Travel_Rarely"/>
    <x v="2"/>
    <s v="Current Employees"/>
    <x v="1"/>
    <x v="0"/>
    <s v="STAFF-134"/>
    <n v="134"/>
    <x v="1"/>
    <x v="1"/>
    <x v="0"/>
    <s v="No"/>
    <s v="Y"/>
    <n v="2"/>
    <n v="-2"/>
    <n v="0"/>
    <n v="32"/>
    <n v="0"/>
    <m/>
    <n v="0"/>
    <n v="1"/>
    <n v="827"/>
    <n v="1"/>
    <x v="1"/>
    <n v="1"/>
    <n v="4"/>
    <n v="71"/>
    <n v="3"/>
    <n v="1"/>
    <n v="2"/>
    <n v="2956"/>
    <n v="15178"/>
    <n v="1"/>
    <n v="13"/>
    <n v="3"/>
    <n v="4"/>
    <n v="80"/>
    <n v="0"/>
    <n v="1"/>
    <n v="3"/>
    <n v="1"/>
    <n v="0"/>
    <n v="0"/>
    <n v="0"/>
  </r>
  <r>
    <x v="0"/>
    <s v="Travel_Frequently"/>
    <x v="4"/>
    <s v="Ex-Employees"/>
    <x v="1"/>
    <x v="0"/>
    <s v="STAFF-137"/>
    <n v="137"/>
    <x v="0"/>
    <x v="2"/>
    <x v="0"/>
    <s v="Yes"/>
    <s v="Y"/>
    <n v="5"/>
    <n v="-2"/>
    <n v="0"/>
    <n v="20"/>
    <n v="1"/>
    <n v="1"/>
    <n v="1"/>
    <n v="0"/>
    <n v="871"/>
    <n v="6"/>
    <x v="3"/>
    <n v="1"/>
    <n v="4"/>
    <n v="66"/>
    <n v="2"/>
    <n v="1"/>
    <n v="2"/>
    <n v="2926"/>
    <n v="19783"/>
    <n v="1"/>
    <n v="18"/>
    <n v="3"/>
    <n v="2"/>
    <n v="80"/>
    <n v="0"/>
    <n v="1"/>
    <n v="3"/>
    <n v="1"/>
    <n v="0"/>
    <n v="1"/>
    <n v="0"/>
  </r>
  <r>
    <x v="1"/>
    <s v="Travel_Rarely"/>
    <x v="2"/>
    <s v="Current Employees"/>
    <x v="1"/>
    <x v="1"/>
    <s v="STAFF-138"/>
    <n v="138"/>
    <x v="0"/>
    <x v="1"/>
    <x v="0"/>
    <s v="No"/>
    <s v="Y"/>
    <n v="3"/>
    <n v="-2"/>
    <n v="0"/>
    <n v="34"/>
    <n v="0"/>
    <m/>
    <n v="0"/>
    <n v="1"/>
    <n v="665"/>
    <n v="6"/>
    <x v="2"/>
    <n v="1"/>
    <n v="1"/>
    <n v="41"/>
    <n v="3"/>
    <n v="2"/>
    <n v="3"/>
    <n v="4809"/>
    <n v="12482"/>
    <n v="1"/>
    <n v="14"/>
    <n v="3"/>
    <n v="3"/>
    <n v="80"/>
    <n v="0"/>
    <n v="16"/>
    <n v="3"/>
    <n v="16"/>
    <n v="13"/>
    <n v="2"/>
    <n v="10"/>
  </r>
  <r>
    <x v="1"/>
    <s v="Non-Travel"/>
    <x v="0"/>
    <s v="Current Employees"/>
    <x v="1"/>
    <x v="0"/>
    <s v="STAFF-139"/>
    <n v="139"/>
    <x v="1"/>
    <x v="4"/>
    <x v="2"/>
    <s v="No"/>
    <s v="Y"/>
    <n v="2"/>
    <n v="-2"/>
    <n v="0"/>
    <n v="37"/>
    <n v="0"/>
    <m/>
    <n v="0"/>
    <n v="1"/>
    <n v="1040"/>
    <n v="2"/>
    <x v="0"/>
    <n v="1"/>
    <n v="3"/>
    <n v="100"/>
    <n v="2"/>
    <n v="2"/>
    <n v="2"/>
    <n v="5163"/>
    <n v="15850"/>
    <n v="5"/>
    <n v="14"/>
    <n v="3"/>
    <n v="4"/>
    <n v="80"/>
    <n v="1"/>
    <n v="17"/>
    <n v="4"/>
    <n v="1"/>
    <n v="0"/>
    <n v="0"/>
    <n v="0"/>
  </r>
  <r>
    <x v="1"/>
    <s v="Non-Travel"/>
    <x v="3"/>
    <s v="Current Employees"/>
    <x v="2"/>
    <x v="5"/>
    <s v="STAFF-140"/>
    <n v="140"/>
    <x v="0"/>
    <x v="5"/>
    <x v="1"/>
    <s v="No"/>
    <s v="Y"/>
    <n v="3"/>
    <n v="-2"/>
    <n v="0"/>
    <n v="59"/>
    <n v="0"/>
    <m/>
    <n v="0"/>
    <n v="1"/>
    <n v="1420"/>
    <n v="2"/>
    <x v="2"/>
    <n v="1"/>
    <n v="3"/>
    <n v="32"/>
    <n v="2"/>
    <n v="5"/>
    <n v="4"/>
    <n v="18844"/>
    <n v="21922"/>
    <n v="9"/>
    <n v="21"/>
    <n v="4"/>
    <n v="4"/>
    <n v="80"/>
    <n v="1"/>
    <n v="30"/>
    <n v="3"/>
    <n v="3"/>
    <n v="2"/>
    <n v="2"/>
    <n v="2"/>
  </r>
  <r>
    <x v="1"/>
    <s v="Travel_Frequently"/>
    <x v="1"/>
    <s v="Current Employees"/>
    <x v="1"/>
    <x v="0"/>
    <s v="STAFF-141"/>
    <n v="141"/>
    <x v="0"/>
    <x v="7"/>
    <x v="1"/>
    <s v="Yes"/>
    <s v="Y"/>
    <n v="1"/>
    <n v="-2"/>
    <n v="0"/>
    <n v="50"/>
    <n v="0"/>
    <m/>
    <n v="0"/>
    <n v="1"/>
    <n v="1115"/>
    <n v="1"/>
    <x v="3"/>
    <n v="1"/>
    <n v="1"/>
    <n v="73"/>
    <n v="3"/>
    <n v="5"/>
    <n v="2"/>
    <n v="18172"/>
    <n v="9755"/>
    <n v="3"/>
    <n v="19"/>
    <n v="3"/>
    <n v="1"/>
    <n v="80"/>
    <n v="0"/>
    <n v="28"/>
    <n v="2"/>
    <n v="8"/>
    <n v="3"/>
    <n v="0"/>
    <n v="7"/>
  </r>
  <r>
    <x v="0"/>
    <s v="Travel_Rarely"/>
    <x v="2"/>
    <s v="Ex-Employees"/>
    <x v="0"/>
    <x v="3"/>
    <s v="STAFF-142"/>
    <n v="142"/>
    <x v="1"/>
    <x v="0"/>
    <x v="0"/>
    <s v="Yes"/>
    <s v="Y"/>
    <n v="1"/>
    <n v="-2"/>
    <n v="0"/>
    <n v="25"/>
    <n v="1"/>
    <n v="1"/>
    <n v="1"/>
    <n v="0"/>
    <n v="240"/>
    <n v="5"/>
    <x v="3"/>
    <n v="1"/>
    <n v="3"/>
    <n v="46"/>
    <n v="2"/>
    <n v="2"/>
    <n v="3"/>
    <n v="5744"/>
    <n v="26959"/>
    <n v="1"/>
    <n v="11"/>
    <n v="3"/>
    <n v="4"/>
    <n v="80"/>
    <n v="0"/>
    <n v="6"/>
    <n v="3"/>
    <n v="6"/>
    <n v="4"/>
    <n v="0"/>
    <n v="3"/>
  </r>
  <r>
    <x v="1"/>
    <s v="Travel_Rarely"/>
    <x v="2"/>
    <s v="Current Employees"/>
    <x v="1"/>
    <x v="2"/>
    <s v="STAFF-143"/>
    <n v="143"/>
    <x v="1"/>
    <x v="1"/>
    <x v="1"/>
    <s v="No"/>
    <s v="Y"/>
    <n v="2"/>
    <n v="-2"/>
    <n v="0"/>
    <n v="25"/>
    <n v="0"/>
    <m/>
    <n v="0"/>
    <n v="1"/>
    <n v="1280"/>
    <n v="7"/>
    <x v="1"/>
    <n v="1"/>
    <n v="4"/>
    <n v="64"/>
    <n v="2"/>
    <n v="1"/>
    <n v="4"/>
    <n v="2889"/>
    <n v="26897"/>
    <n v="1"/>
    <n v="11"/>
    <n v="3"/>
    <n v="3"/>
    <n v="80"/>
    <n v="2"/>
    <n v="2"/>
    <n v="3"/>
    <n v="2"/>
    <n v="2"/>
    <n v="2"/>
    <n v="1"/>
  </r>
  <r>
    <x v="1"/>
    <s v="Travel_Rarely"/>
    <x v="4"/>
    <s v="Current Employees"/>
    <x v="1"/>
    <x v="2"/>
    <s v="STAFF-144"/>
    <n v="144"/>
    <x v="0"/>
    <x v="2"/>
    <x v="0"/>
    <s v="No"/>
    <s v="Y"/>
    <n v="5"/>
    <n v="-2"/>
    <n v="0"/>
    <n v="22"/>
    <n v="0"/>
    <m/>
    <n v="0"/>
    <n v="1"/>
    <n v="534"/>
    <n v="15"/>
    <x v="3"/>
    <n v="1"/>
    <n v="2"/>
    <n v="59"/>
    <n v="3"/>
    <n v="1"/>
    <n v="4"/>
    <n v="2871"/>
    <n v="23785"/>
    <n v="1"/>
    <n v="15"/>
    <n v="3"/>
    <n v="3"/>
    <n v="80"/>
    <n v="0"/>
    <n v="1"/>
    <n v="3"/>
    <n v="0"/>
    <n v="0"/>
    <n v="0"/>
    <n v="0"/>
  </r>
  <r>
    <x v="1"/>
    <s v="Travel_Frequently"/>
    <x v="1"/>
    <s v="Current Employees"/>
    <x v="1"/>
    <x v="2"/>
    <s v="STAFF-145"/>
    <n v="145"/>
    <x v="0"/>
    <x v="4"/>
    <x v="0"/>
    <s v="No"/>
    <s v="Y"/>
    <n v="1"/>
    <n v="-2"/>
    <n v="0"/>
    <n v="51"/>
    <n v="0"/>
    <m/>
    <n v="0"/>
    <n v="1"/>
    <n v="1456"/>
    <n v="1"/>
    <x v="2"/>
    <n v="1"/>
    <n v="1"/>
    <n v="30"/>
    <n v="2"/>
    <n v="3"/>
    <n v="4"/>
    <n v="7484"/>
    <n v="25796"/>
    <n v="3"/>
    <n v="20"/>
    <n v="4"/>
    <n v="3"/>
    <n v="80"/>
    <n v="0"/>
    <n v="23"/>
    <n v="2"/>
    <n v="13"/>
    <n v="12"/>
    <n v="12"/>
    <n v="8"/>
  </r>
  <r>
    <x v="0"/>
    <s v="Travel_Frequently"/>
    <x v="2"/>
    <s v="Ex-Employees"/>
    <x v="1"/>
    <x v="0"/>
    <s v="STAFF-147"/>
    <n v="147"/>
    <x v="1"/>
    <x v="2"/>
    <x v="0"/>
    <s v="Yes"/>
    <s v="Y"/>
    <n v="3"/>
    <n v="-2"/>
    <n v="0"/>
    <n v="34"/>
    <n v="1"/>
    <n v="1"/>
    <n v="1"/>
    <n v="0"/>
    <n v="658"/>
    <n v="7"/>
    <x v="3"/>
    <n v="1"/>
    <n v="1"/>
    <n v="66"/>
    <n v="1"/>
    <n v="2"/>
    <n v="2"/>
    <n v="6074"/>
    <n v="22887"/>
    <n v="1"/>
    <n v="24"/>
    <n v="4"/>
    <n v="4"/>
    <n v="80"/>
    <n v="0"/>
    <n v="9"/>
    <n v="3"/>
    <n v="9"/>
    <n v="7"/>
    <n v="0"/>
    <n v="6"/>
  </r>
  <r>
    <x v="1"/>
    <s v="Non-Travel"/>
    <x v="1"/>
    <s v="Current Employees"/>
    <x v="2"/>
    <x v="5"/>
    <s v="STAFF-148"/>
    <n v="148"/>
    <x v="0"/>
    <x v="5"/>
    <x v="0"/>
    <s v="Yes"/>
    <s v="Y"/>
    <n v="3"/>
    <n v="-2"/>
    <n v="0"/>
    <n v="54"/>
    <n v="0"/>
    <m/>
    <n v="0"/>
    <n v="1"/>
    <n v="142"/>
    <n v="26"/>
    <x v="3"/>
    <n v="1"/>
    <n v="4"/>
    <n v="30"/>
    <n v="4"/>
    <n v="4"/>
    <n v="4"/>
    <n v="17328"/>
    <n v="13871"/>
    <n v="2"/>
    <n v="12"/>
    <n v="3"/>
    <n v="3"/>
    <n v="80"/>
    <n v="0"/>
    <n v="23"/>
    <n v="3"/>
    <n v="5"/>
    <n v="3"/>
    <n v="4"/>
    <n v="4"/>
  </r>
  <r>
    <x v="1"/>
    <s v="Travel_Rarely"/>
    <x v="4"/>
    <s v="Current Employees"/>
    <x v="1"/>
    <x v="0"/>
    <s v="STAFF-150"/>
    <n v="150"/>
    <x v="1"/>
    <x v="2"/>
    <x v="1"/>
    <s v="No"/>
    <s v="Y"/>
    <n v="2"/>
    <n v="-2"/>
    <n v="0"/>
    <n v="24"/>
    <n v="0"/>
    <m/>
    <n v="0"/>
    <n v="1"/>
    <n v="1127"/>
    <n v="18"/>
    <x v="1"/>
    <n v="1"/>
    <n v="2"/>
    <n v="52"/>
    <n v="3"/>
    <n v="1"/>
    <n v="2"/>
    <n v="2774"/>
    <n v="13257"/>
    <n v="0"/>
    <n v="12"/>
    <n v="3"/>
    <n v="3"/>
    <n v="80"/>
    <n v="1"/>
    <n v="6"/>
    <n v="3"/>
    <n v="5"/>
    <n v="3"/>
    <n v="1"/>
    <n v="2"/>
  </r>
  <r>
    <x v="1"/>
    <s v="Travel_Rarely"/>
    <x v="2"/>
    <s v="Current Employees"/>
    <x v="1"/>
    <x v="0"/>
    <s v="STAFF-151"/>
    <n v="151"/>
    <x v="0"/>
    <x v="1"/>
    <x v="2"/>
    <s v="No"/>
    <s v="Y"/>
    <n v="3"/>
    <n v="-2"/>
    <n v="0"/>
    <n v="34"/>
    <n v="0"/>
    <m/>
    <n v="0"/>
    <n v="1"/>
    <n v="1031"/>
    <n v="6"/>
    <x v="2"/>
    <n v="1"/>
    <n v="3"/>
    <n v="45"/>
    <n v="2"/>
    <n v="2"/>
    <n v="2"/>
    <n v="4505"/>
    <n v="15000"/>
    <n v="6"/>
    <n v="15"/>
    <n v="3"/>
    <n v="3"/>
    <n v="80"/>
    <n v="1"/>
    <n v="12"/>
    <n v="3"/>
    <n v="1"/>
    <n v="0"/>
    <n v="0"/>
    <n v="0"/>
  </r>
  <r>
    <x v="1"/>
    <s v="Travel_Rarely"/>
    <x v="0"/>
    <s v="Current Employees"/>
    <x v="0"/>
    <x v="0"/>
    <s v="STAFF-152"/>
    <n v="152"/>
    <x v="1"/>
    <x v="0"/>
    <x v="0"/>
    <s v="No"/>
    <s v="Y"/>
    <n v="3"/>
    <n v="-2"/>
    <n v="0"/>
    <n v="37"/>
    <n v="0"/>
    <m/>
    <n v="0"/>
    <n v="1"/>
    <n v="1189"/>
    <n v="3"/>
    <x v="3"/>
    <n v="1"/>
    <n v="3"/>
    <n v="87"/>
    <n v="3"/>
    <n v="3"/>
    <n v="2"/>
    <n v="7428"/>
    <n v="14506"/>
    <n v="2"/>
    <n v="12"/>
    <n v="3"/>
    <n v="1"/>
    <n v="80"/>
    <n v="0"/>
    <n v="12"/>
    <n v="3"/>
    <n v="5"/>
    <n v="3"/>
    <n v="1"/>
    <n v="3"/>
  </r>
  <r>
    <x v="1"/>
    <s v="Travel_Rarely"/>
    <x v="2"/>
    <s v="Current Employees"/>
    <x v="1"/>
    <x v="2"/>
    <s v="STAFF-153"/>
    <n v="153"/>
    <x v="0"/>
    <x v="5"/>
    <x v="0"/>
    <s v="No"/>
    <s v="Y"/>
    <n v="6"/>
    <n v="-2"/>
    <n v="0"/>
    <n v="34"/>
    <n v="0"/>
    <m/>
    <n v="0"/>
    <n v="1"/>
    <n v="1354"/>
    <n v="5"/>
    <x v="3"/>
    <n v="1"/>
    <n v="3"/>
    <n v="45"/>
    <n v="2"/>
    <n v="3"/>
    <n v="4"/>
    <n v="11631"/>
    <n v="5615"/>
    <n v="2"/>
    <n v="12"/>
    <n v="3"/>
    <n v="4"/>
    <n v="80"/>
    <n v="0"/>
    <n v="14"/>
    <n v="3"/>
    <n v="11"/>
    <n v="10"/>
    <n v="5"/>
    <n v="8"/>
  </r>
  <r>
    <x v="1"/>
    <s v="Travel_Frequently"/>
    <x v="0"/>
    <s v="Current Employees"/>
    <x v="0"/>
    <x v="4"/>
    <s v="STAFF-154"/>
    <n v="154"/>
    <x v="0"/>
    <x v="0"/>
    <x v="1"/>
    <s v="No"/>
    <s v="Y"/>
    <n v="6"/>
    <n v="-2"/>
    <n v="0"/>
    <n v="36"/>
    <n v="0"/>
    <m/>
    <n v="0"/>
    <n v="1"/>
    <n v="1467"/>
    <n v="11"/>
    <x v="0"/>
    <n v="1"/>
    <n v="2"/>
    <n v="92"/>
    <n v="3"/>
    <n v="3"/>
    <n v="4"/>
    <n v="9738"/>
    <n v="22952"/>
    <n v="0"/>
    <n v="14"/>
    <n v="3"/>
    <n v="3"/>
    <n v="80"/>
    <n v="1"/>
    <n v="10"/>
    <n v="3"/>
    <n v="9"/>
    <n v="7"/>
    <n v="2"/>
    <n v="8"/>
  </r>
  <r>
    <x v="1"/>
    <s v="Travel_Rarely"/>
    <x v="0"/>
    <s v="Current Employees"/>
    <x v="1"/>
    <x v="0"/>
    <s v="STAFF-155"/>
    <n v="155"/>
    <x v="0"/>
    <x v="2"/>
    <x v="2"/>
    <s v="No"/>
    <s v="Y"/>
    <n v="2"/>
    <n v="-2"/>
    <n v="0"/>
    <n v="36"/>
    <n v="0"/>
    <m/>
    <n v="0"/>
    <n v="1"/>
    <n v="922"/>
    <n v="3"/>
    <x v="0"/>
    <n v="1"/>
    <n v="1"/>
    <n v="39"/>
    <n v="3"/>
    <n v="1"/>
    <n v="2"/>
    <n v="2835"/>
    <n v="2561"/>
    <n v="5"/>
    <n v="22"/>
    <n v="4"/>
    <n v="1"/>
    <n v="80"/>
    <n v="1"/>
    <n v="7"/>
    <n v="3"/>
    <n v="1"/>
    <n v="0"/>
    <n v="0"/>
    <n v="0"/>
  </r>
  <r>
    <x v="1"/>
    <s v="Travel_Frequently"/>
    <x v="0"/>
    <s v="Current Employees"/>
    <x v="0"/>
    <x v="0"/>
    <s v="STAFF-158"/>
    <n v="158"/>
    <x v="1"/>
    <x v="5"/>
    <x v="1"/>
    <s v="Yes"/>
    <s v="Y"/>
    <n v="3"/>
    <n v="-2"/>
    <n v="0"/>
    <n v="43"/>
    <n v="0"/>
    <m/>
    <n v="0"/>
    <n v="1"/>
    <n v="394"/>
    <n v="26"/>
    <x v="0"/>
    <n v="1"/>
    <n v="3"/>
    <n v="92"/>
    <n v="3"/>
    <n v="4"/>
    <n v="2"/>
    <n v="16959"/>
    <n v="19494"/>
    <n v="1"/>
    <n v="12"/>
    <n v="3"/>
    <n v="4"/>
    <n v="80"/>
    <n v="2"/>
    <n v="25"/>
    <n v="4"/>
    <n v="25"/>
    <n v="12"/>
    <n v="4"/>
    <n v="12"/>
  </r>
  <r>
    <x v="1"/>
    <s v="Travel_Frequently"/>
    <x v="2"/>
    <s v="Current Employees"/>
    <x v="1"/>
    <x v="0"/>
    <s v="STAFF-159"/>
    <n v="159"/>
    <x v="1"/>
    <x v="1"/>
    <x v="2"/>
    <s v="No"/>
    <s v="Y"/>
    <n v="2"/>
    <n v="-2"/>
    <n v="0"/>
    <n v="30"/>
    <n v="0"/>
    <m/>
    <n v="0"/>
    <n v="1"/>
    <n v="1312"/>
    <n v="23"/>
    <x v="3"/>
    <n v="1"/>
    <n v="1"/>
    <n v="96"/>
    <n v="1"/>
    <n v="1"/>
    <n v="2"/>
    <n v="2613"/>
    <n v="22310"/>
    <n v="1"/>
    <n v="25"/>
    <n v="4"/>
    <n v="3"/>
    <n v="80"/>
    <n v="3"/>
    <n v="10"/>
    <n v="2"/>
    <n v="10"/>
    <n v="7"/>
    <n v="0"/>
    <n v="9"/>
  </r>
  <r>
    <x v="1"/>
    <s v="Non-Travel"/>
    <x v="2"/>
    <s v="Current Employees"/>
    <x v="0"/>
    <x v="3"/>
    <s v="STAFF-160"/>
    <n v="160"/>
    <x v="1"/>
    <x v="0"/>
    <x v="1"/>
    <s v="No"/>
    <s v="Y"/>
    <n v="2"/>
    <n v="-2"/>
    <n v="0"/>
    <n v="33"/>
    <n v="0"/>
    <m/>
    <n v="0"/>
    <n v="1"/>
    <n v="750"/>
    <n v="22"/>
    <x v="0"/>
    <n v="1"/>
    <n v="3"/>
    <n v="95"/>
    <n v="3"/>
    <n v="2"/>
    <n v="3"/>
    <n v="6146"/>
    <n v="15480"/>
    <n v="0"/>
    <n v="13"/>
    <n v="3"/>
    <n v="1"/>
    <n v="80"/>
    <n v="1"/>
    <n v="8"/>
    <n v="4"/>
    <n v="7"/>
    <n v="7"/>
    <n v="0"/>
    <n v="7"/>
  </r>
  <r>
    <x v="0"/>
    <s v="Travel_Rarely"/>
    <x v="3"/>
    <s v="Ex-Employees"/>
    <x v="1"/>
    <x v="0"/>
    <s v="STAFF-161"/>
    <n v="161"/>
    <x v="0"/>
    <x v="1"/>
    <x v="1"/>
    <s v="Yes"/>
    <s v="Y"/>
    <n v="2"/>
    <n v="-2"/>
    <n v="0"/>
    <n v="56"/>
    <n v="1"/>
    <n v="1"/>
    <n v="1"/>
    <n v="0"/>
    <n v="441"/>
    <n v="14"/>
    <x v="2"/>
    <n v="1"/>
    <n v="2"/>
    <n v="72"/>
    <n v="3"/>
    <n v="1"/>
    <n v="2"/>
    <n v="4963"/>
    <n v="4510"/>
    <n v="9"/>
    <n v="18"/>
    <n v="3"/>
    <n v="1"/>
    <n v="80"/>
    <n v="3"/>
    <n v="7"/>
    <n v="3"/>
    <n v="5"/>
    <n v="4"/>
    <n v="4"/>
    <n v="3"/>
  </r>
  <r>
    <x v="1"/>
    <s v="Travel_Rarely"/>
    <x v="1"/>
    <s v="Current Employees"/>
    <x v="1"/>
    <x v="0"/>
    <s v="STAFF-162"/>
    <n v="162"/>
    <x v="1"/>
    <x v="7"/>
    <x v="0"/>
    <s v="No"/>
    <s v="Y"/>
    <n v="5"/>
    <n v="-2"/>
    <n v="0"/>
    <n v="51"/>
    <n v="0"/>
    <m/>
    <n v="0"/>
    <n v="1"/>
    <n v="684"/>
    <n v="6"/>
    <x v="3"/>
    <n v="1"/>
    <n v="1"/>
    <n v="51"/>
    <n v="3"/>
    <n v="5"/>
    <n v="2"/>
    <n v="19537"/>
    <n v="6462"/>
    <n v="7"/>
    <n v="13"/>
    <n v="3"/>
    <n v="3"/>
    <n v="80"/>
    <n v="0"/>
    <n v="23"/>
    <n v="3"/>
    <n v="20"/>
    <n v="18"/>
    <n v="15"/>
    <n v="15"/>
  </r>
  <r>
    <x v="0"/>
    <s v="Travel_Rarely"/>
    <x v="2"/>
    <s v="Ex-Employees"/>
    <x v="0"/>
    <x v="0"/>
    <s v="STAFF-163"/>
    <n v="163"/>
    <x v="1"/>
    <x v="0"/>
    <x v="1"/>
    <s v="Yes"/>
    <s v="Y"/>
    <n v="3"/>
    <n v="-2"/>
    <n v="0"/>
    <n v="31"/>
    <n v="1"/>
    <n v="1"/>
    <n v="1"/>
    <n v="0"/>
    <n v="249"/>
    <n v="6"/>
    <x v="2"/>
    <n v="1"/>
    <n v="2"/>
    <n v="76"/>
    <n v="1"/>
    <n v="2"/>
    <n v="2"/>
    <n v="6172"/>
    <n v="20739"/>
    <n v="4"/>
    <n v="18"/>
    <n v="3"/>
    <n v="2"/>
    <n v="80"/>
    <n v="0"/>
    <n v="12"/>
    <n v="2"/>
    <n v="7"/>
    <n v="7"/>
    <n v="7"/>
    <n v="7"/>
  </r>
  <r>
    <x v="1"/>
    <s v="Travel_Rarely"/>
    <x v="2"/>
    <s v="Current Employees"/>
    <x v="1"/>
    <x v="1"/>
    <s v="STAFF-164"/>
    <n v="164"/>
    <x v="0"/>
    <x v="1"/>
    <x v="1"/>
    <s v="No"/>
    <s v="Y"/>
    <n v="3"/>
    <n v="-2"/>
    <n v="0"/>
    <n v="26"/>
    <n v="0"/>
    <m/>
    <n v="0"/>
    <n v="1"/>
    <n v="841"/>
    <n v="6"/>
    <x v="3"/>
    <n v="1"/>
    <n v="3"/>
    <n v="46"/>
    <n v="2"/>
    <n v="1"/>
    <n v="3"/>
    <n v="2368"/>
    <n v="23300"/>
    <n v="1"/>
    <n v="19"/>
    <n v="3"/>
    <n v="3"/>
    <n v="80"/>
    <n v="0"/>
    <n v="5"/>
    <n v="2"/>
    <n v="5"/>
    <n v="4"/>
    <n v="4"/>
    <n v="3"/>
  </r>
  <r>
    <x v="0"/>
    <s v="Travel_Rarely"/>
    <x v="3"/>
    <s v="Ex-Employees"/>
    <x v="1"/>
    <x v="2"/>
    <s v="STAFF-165"/>
    <n v="165"/>
    <x v="0"/>
    <x v="4"/>
    <x v="1"/>
    <s v="No"/>
    <s v="Y"/>
    <n v="3"/>
    <n v="-2"/>
    <n v="0"/>
    <n v="58"/>
    <n v="1"/>
    <n v="1"/>
    <n v="1"/>
    <n v="0"/>
    <n v="147"/>
    <n v="23"/>
    <x v="2"/>
    <n v="1"/>
    <n v="4"/>
    <n v="94"/>
    <n v="3"/>
    <n v="3"/>
    <n v="4"/>
    <n v="10312"/>
    <n v="3465"/>
    <n v="1"/>
    <n v="12"/>
    <n v="3"/>
    <n v="4"/>
    <n v="80"/>
    <n v="1"/>
    <n v="40"/>
    <n v="2"/>
    <n v="40"/>
    <n v="10"/>
    <n v="15"/>
    <n v="6"/>
  </r>
  <r>
    <x v="0"/>
    <s v="Travel_Rarely"/>
    <x v="4"/>
    <s v="Ex-Employees"/>
    <x v="0"/>
    <x v="3"/>
    <s v="STAFF-167"/>
    <n v="167"/>
    <x v="1"/>
    <x v="6"/>
    <x v="0"/>
    <s v="Yes"/>
    <s v="Y"/>
    <n v="2"/>
    <n v="-2"/>
    <n v="0"/>
    <n v="19"/>
    <n v="1"/>
    <n v="1"/>
    <n v="1"/>
    <n v="0"/>
    <n v="528"/>
    <n v="22"/>
    <x v="1"/>
    <n v="1"/>
    <n v="4"/>
    <n v="50"/>
    <n v="3"/>
    <n v="1"/>
    <n v="3"/>
    <n v="1675"/>
    <n v="26820"/>
    <n v="1"/>
    <n v="19"/>
    <n v="3"/>
    <n v="4"/>
    <n v="80"/>
    <n v="0"/>
    <n v="0"/>
    <n v="2"/>
    <n v="0"/>
    <n v="0"/>
    <n v="0"/>
    <n v="0"/>
  </r>
  <r>
    <x v="1"/>
    <s v="Travel_Rarely"/>
    <x v="4"/>
    <s v="Current Employees"/>
    <x v="1"/>
    <x v="4"/>
    <s v="STAFF-169"/>
    <n v="169"/>
    <x v="1"/>
    <x v="2"/>
    <x v="1"/>
    <s v="No"/>
    <s v="Y"/>
    <n v="2"/>
    <n v="-2"/>
    <n v="0"/>
    <n v="22"/>
    <n v="0"/>
    <m/>
    <n v="0"/>
    <n v="1"/>
    <n v="594"/>
    <n v="2"/>
    <x v="1"/>
    <n v="1"/>
    <n v="3"/>
    <n v="100"/>
    <n v="3"/>
    <n v="1"/>
    <n v="4"/>
    <n v="2523"/>
    <n v="19299"/>
    <n v="0"/>
    <n v="14"/>
    <n v="3"/>
    <n v="3"/>
    <n v="80"/>
    <n v="1"/>
    <n v="3"/>
    <n v="3"/>
    <n v="2"/>
    <n v="1"/>
    <n v="2"/>
    <n v="1"/>
  </r>
  <r>
    <x v="1"/>
    <s v="Travel_Rarely"/>
    <x v="1"/>
    <s v="Current Employees"/>
    <x v="1"/>
    <x v="2"/>
    <s v="STAFF-170"/>
    <n v="170"/>
    <x v="0"/>
    <x v="3"/>
    <x v="1"/>
    <s v="No"/>
    <s v="Y"/>
    <n v="2"/>
    <n v="-2"/>
    <n v="0"/>
    <n v="49"/>
    <n v="0"/>
    <m/>
    <n v="0"/>
    <n v="1"/>
    <n v="470"/>
    <n v="20"/>
    <x v="2"/>
    <n v="1"/>
    <n v="3"/>
    <n v="96"/>
    <n v="3"/>
    <n v="2"/>
    <n v="1"/>
    <n v="6567"/>
    <n v="5549"/>
    <n v="1"/>
    <n v="14"/>
    <n v="3"/>
    <n v="3"/>
    <n v="80"/>
    <n v="0"/>
    <n v="16"/>
    <n v="2"/>
    <n v="15"/>
    <n v="11"/>
    <n v="5"/>
    <n v="11"/>
  </r>
  <r>
    <x v="1"/>
    <s v="Travel_Frequently"/>
    <x v="0"/>
    <s v="Current Employees"/>
    <x v="1"/>
    <x v="2"/>
    <s v="STAFF-171"/>
    <n v="171"/>
    <x v="0"/>
    <x v="1"/>
    <x v="0"/>
    <s v="No"/>
    <s v="Y"/>
    <n v="2"/>
    <n v="-2"/>
    <n v="0"/>
    <n v="43"/>
    <n v="0"/>
    <m/>
    <n v="0"/>
    <n v="1"/>
    <n v="957"/>
    <n v="28"/>
    <x v="3"/>
    <n v="1"/>
    <n v="2"/>
    <n v="72"/>
    <n v="4"/>
    <n v="1"/>
    <n v="3"/>
    <n v="4739"/>
    <n v="16090"/>
    <n v="4"/>
    <n v="12"/>
    <n v="3"/>
    <n v="4"/>
    <n v="80"/>
    <n v="0"/>
    <n v="18"/>
    <n v="3"/>
    <n v="3"/>
    <n v="2"/>
    <n v="1"/>
    <n v="2"/>
  </r>
  <r>
    <x v="1"/>
    <s v="Travel_Frequently"/>
    <x v="1"/>
    <s v="Current Employees"/>
    <x v="0"/>
    <x v="3"/>
    <s v="STAFF-174"/>
    <n v="174"/>
    <x v="0"/>
    <x v="0"/>
    <x v="0"/>
    <s v="No"/>
    <s v="Y"/>
    <n v="3"/>
    <n v="-2"/>
    <n v="0"/>
    <n v="50"/>
    <n v="0"/>
    <m/>
    <n v="0"/>
    <n v="1"/>
    <n v="809"/>
    <n v="12"/>
    <x v="3"/>
    <n v="1"/>
    <n v="3"/>
    <n v="77"/>
    <n v="3"/>
    <n v="3"/>
    <n v="4"/>
    <n v="9208"/>
    <n v="6645"/>
    <n v="4"/>
    <n v="11"/>
    <n v="3"/>
    <n v="4"/>
    <n v="80"/>
    <n v="0"/>
    <n v="16"/>
    <n v="3"/>
    <n v="2"/>
    <n v="2"/>
    <n v="2"/>
    <n v="1"/>
  </r>
  <r>
    <x v="0"/>
    <s v="Travel_Rarely"/>
    <x v="2"/>
    <s v="Ex-Employees"/>
    <x v="0"/>
    <x v="0"/>
    <s v="STAFF-175"/>
    <n v="175"/>
    <x v="0"/>
    <x v="0"/>
    <x v="1"/>
    <s v="Yes"/>
    <s v="Y"/>
    <n v="2"/>
    <n v="-2"/>
    <n v="0"/>
    <n v="31"/>
    <n v="1"/>
    <n v="1"/>
    <n v="1"/>
    <n v="0"/>
    <n v="542"/>
    <n v="20"/>
    <x v="3"/>
    <n v="1"/>
    <n v="2"/>
    <n v="71"/>
    <n v="1"/>
    <n v="2"/>
    <n v="2"/>
    <n v="4559"/>
    <n v="24788"/>
    <n v="3"/>
    <n v="11"/>
    <n v="3"/>
    <n v="3"/>
    <n v="80"/>
    <n v="1"/>
    <n v="4"/>
    <n v="3"/>
    <n v="2"/>
    <n v="2"/>
    <n v="2"/>
    <n v="2"/>
  </r>
  <r>
    <x v="1"/>
    <s v="Travel_Rarely"/>
    <x v="0"/>
    <s v="Current Employees"/>
    <x v="0"/>
    <x v="0"/>
    <s v="STAFF-176"/>
    <n v="176"/>
    <x v="1"/>
    <x v="0"/>
    <x v="2"/>
    <s v="Yes"/>
    <s v="Y"/>
    <n v="2"/>
    <n v="-2"/>
    <n v="0"/>
    <n v="41"/>
    <n v="0"/>
    <m/>
    <n v="0"/>
    <n v="1"/>
    <n v="802"/>
    <n v="9"/>
    <x v="1"/>
    <n v="1"/>
    <n v="3"/>
    <n v="96"/>
    <n v="3"/>
    <n v="3"/>
    <n v="2"/>
    <n v="8189"/>
    <n v="21196"/>
    <n v="3"/>
    <n v="13"/>
    <n v="3"/>
    <n v="3"/>
    <n v="80"/>
    <n v="1"/>
    <n v="12"/>
    <n v="3"/>
    <n v="9"/>
    <n v="7"/>
    <n v="0"/>
    <n v="7"/>
  </r>
  <r>
    <x v="1"/>
    <s v="Travel_Rarely"/>
    <x v="2"/>
    <s v="Current Employees"/>
    <x v="2"/>
    <x v="0"/>
    <s v="STAFF-177"/>
    <n v="177"/>
    <x v="0"/>
    <x v="8"/>
    <x v="1"/>
    <s v="No"/>
    <s v="Y"/>
    <n v="3"/>
    <n v="-2"/>
    <n v="0"/>
    <n v="26"/>
    <n v="0"/>
    <m/>
    <n v="0"/>
    <n v="1"/>
    <n v="1355"/>
    <n v="25"/>
    <x v="1"/>
    <n v="1"/>
    <n v="3"/>
    <n v="61"/>
    <n v="3"/>
    <n v="1"/>
    <n v="2"/>
    <n v="2942"/>
    <n v="8916"/>
    <n v="1"/>
    <n v="23"/>
    <n v="4"/>
    <n v="4"/>
    <n v="80"/>
    <n v="1"/>
    <n v="8"/>
    <n v="3"/>
    <n v="8"/>
    <n v="7"/>
    <n v="5"/>
    <n v="7"/>
  </r>
  <r>
    <x v="1"/>
    <s v="Travel_Rarely"/>
    <x v="0"/>
    <s v="Current Employees"/>
    <x v="1"/>
    <x v="2"/>
    <s v="STAFF-178"/>
    <n v="178"/>
    <x v="1"/>
    <x v="3"/>
    <x v="2"/>
    <s v="No"/>
    <s v="Y"/>
    <n v="0"/>
    <n v="-2"/>
    <n v="0"/>
    <n v="36"/>
    <n v="0"/>
    <m/>
    <n v="0"/>
    <n v="1"/>
    <n v="216"/>
    <n v="6"/>
    <x v="0"/>
    <n v="1"/>
    <n v="2"/>
    <n v="84"/>
    <n v="3"/>
    <n v="2"/>
    <n v="3"/>
    <n v="4941"/>
    <n v="2819"/>
    <n v="6"/>
    <n v="20"/>
    <n v="4"/>
    <n v="4"/>
    <n v="80"/>
    <n v="2"/>
    <n v="7"/>
    <n v="3"/>
    <n v="3"/>
    <n v="2"/>
    <n v="0"/>
    <n v="1"/>
  </r>
  <r>
    <x v="0"/>
    <s v="Travel_Frequently"/>
    <x v="1"/>
    <s v="Ex-Employees"/>
    <x v="1"/>
    <x v="0"/>
    <s v="STAFF-179"/>
    <n v="179"/>
    <x v="1"/>
    <x v="3"/>
    <x v="0"/>
    <s v="No"/>
    <s v="Y"/>
    <n v="2"/>
    <n v="-2"/>
    <n v="0"/>
    <n v="51"/>
    <n v="1"/>
    <n v="1"/>
    <n v="1"/>
    <n v="0"/>
    <n v="1150"/>
    <n v="8"/>
    <x v="2"/>
    <n v="1"/>
    <n v="1"/>
    <n v="53"/>
    <n v="1"/>
    <n v="3"/>
    <n v="2"/>
    <n v="10650"/>
    <n v="25150"/>
    <n v="2"/>
    <n v="15"/>
    <n v="3"/>
    <n v="4"/>
    <n v="80"/>
    <n v="0"/>
    <n v="18"/>
    <n v="3"/>
    <n v="4"/>
    <n v="2"/>
    <n v="0"/>
    <n v="3"/>
  </r>
  <r>
    <x v="1"/>
    <s v="Travel_Rarely"/>
    <x v="0"/>
    <s v="Current Employees"/>
    <x v="0"/>
    <x v="0"/>
    <s v="STAFF-182"/>
    <n v="182"/>
    <x v="0"/>
    <x v="0"/>
    <x v="1"/>
    <s v="No"/>
    <s v="Y"/>
    <n v="1"/>
    <n v="-2"/>
    <n v="0"/>
    <n v="39"/>
    <n v="0"/>
    <m/>
    <n v="0"/>
    <n v="1"/>
    <n v="1329"/>
    <n v="4"/>
    <x v="2"/>
    <n v="1"/>
    <n v="4"/>
    <n v="47"/>
    <n v="2"/>
    <n v="2"/>
    <n v="2"/>
    <n v="5902"/>
    <n v="14590"/>
    <n v="4"/>
    <n v="14"/>
    <n v="3"/>
    <n v="3"/>
    <n v="80"/>
    <n v="1"/>
    <n v="17"/>
    <n v="4"/>
    <n v="15"/>
    <n v="11"/>
    <n v="5"/>
    <n v="9"/>
  </r>
  <r>
    <x v="1"/>
    <s v="Travel_Rarely"/>
    <x v="2"/>
    <s v="Current Employees"/>
    <x v="0"/>
    <x v="0"/>
    <s v="STAFF-183"/>
    <n v="183"/>
    <x v="1"/>
    <x v="0"/>
    <x v="1"/>
    <s v="No"/>
    <s v="Y"/>
    <n v="3"/>
    <n v="-2"/>
    <n v="0"/>
    <n v="25"/>
    <n v="0"/>
    <m/>
    <n v="0"/>
    <n v="1"/>
    <n v="959"/>
    <n v="28"/>
    <x v="3"/>
    <n v="1"/>
    <n v="1"/>
    <n v="41"/>
    <n v="2"/>
    <n v="2"/>
    <n v="2"/>
    <n v="8639"/>
    <n v="24835"/>
    <n v="2"/>
    <n v="18"/>
    <n v="3"/>
    <n v="4"/>
    <n v="80"/>
    <n v="0"/>
    <n v="6"/>
    <n v="3"/>
    <n v="2"/>
    <n v="2"/>
    <n v="2"/>
    <n v="2"/>
  </r>
  <r>
    <x v="1"/>
    <s v="Travel_Rarely"/>
    <x v="2"/>
    <s v="Current Employees"/>
    <x v="2"/>
    <x v="5"/>
    <s v="STAFF-184"/>
    <n v="184"/>
    <x v="1"/>
    <x v="8"/>
    <x v="1"/>
    <s v="Yes"/>
    <s v="Y"/>
    <n v="2"/>
    <n v="-2"/>
    <n v="0"/>
    <n v="30"/>
    <n v="0"/>
    <m/>
    <n v="0"/>
    <n v="1"/>
    <n v="1240"/>
    <n v="9"/>
    <x v="3"/>
    <n v="1"/>
    <n v="3"/>
    <n v="48"/>
    <n v="3"/>
    <n v="2"/>
    <n v="4"/>
    <n v="6347"/>
    <n v="13982"/>
    <n v="0"/>
    <n v="19"/>
    <n v="3"/>
    <n v="4"/>
    <n v="80"/>
    <n v="0"/>
    <n v="12"/>
    <n v="1"/>
    <n v="11"/>
    <n v="9"/>
    <n v="4"/>
    <n v="7"/>
  </r>
  <r>
    <x v="0"/>
    <s v="Travel_Rarely"/>
    <x v="2"/>
    <s v="Ex-Employees"/>
    <x v="1"/>
    <x v="2"/>
    <s v="STAFF-190"/>
    <n v="190"/>
    <x v="0"/>
    <x v="2"/>
    <x v="0"/>
    <s v="No"/>
    <s v="Y"/>
    <n v="2"/>
    <n v="-2"/>
    <n v="0"/>
    <n v="32"/>
    <n v="1"/>
    <n v="1"/>
    <n v="1"/>
    <n v="0"/>
    <n v="1033"/>
    <n v="9"/>
    <x v="3"/>
    <n v="1"/>
    <n v="1"/>
    <n v="41"/>
    <n v="3"/>
    <n v="1"/>
    <n v="1"/>
    <n v="4200"/>
    <n v="10224"/>
    <n v="7"/>
    <n v="22"/>
    <n v="4"/>
    <n v="1"/>
    <n v="80"/>
    <n v="0"/>
    <n v="10"/>
    <n v="4"/>
    <n v="5"/>
    <n v="4"/>
    <n v="0"/>
    <n v="4"/>
  </r>
  <r>
    <x v="1"/>
    <s v="Travel_Rarely"/>
    <x v="1"/>
    <s v="Current Employees"/>
    <x v="1"/>
    <x v="2"/>
    <s v="STAFF-192"/>
    <n v="192"/>
    <x v="1"/>
    <x v="1"/>
    <x v="0"/>
    <s v="No"/>
    <s v="Y"/>
    <n v="2"/>
    <n v="-2"/>
    <n v="0"/>
    <n v="45"/>
    <n v="0"/>
    <m/>
    <n v="0"/>
    <n v="1"/>
    <n v="1316"/>
    <n v="29"/>
    <x v="3"/>
    <n v="1"/>
    <n v="3"/>
    <n v="83"/>
    <n v="3"/>
    <n v="1"/>
    <n v="4"/>
    <n v="3452"/>
    <n v="9752"/>
    <n v="5"/>
    <n v="13"/>
    <n v="3"/>
    <n v="2"/>
    <n v="80"/>
    <n v="0"/>
    <n v="9"/>
    <n v="2"/>
    <n v="6"/>
    <n v="5"/>
    <n v="0"/>
    <n v="3"/>
  </r>
  <r>
    <x v="1"/>
    <s v="Travel_Rarely"/>
    <x v="0"/>
    <s v="Current Employees"/>
    <x v="1"/>
    <x v="4"/>
    <s v="STAFF-193"/>
    <n v="193"/>
    <x v="0"/>
    <x v="1"/>
    <x v="0"/>
    <s v="Yes"/>
    <s v="Y"/>
    <n v="2"/>
    <n v="-2"/>
    <n v="0"/>
    <n v="38"/>
    <n v="0"/>
    <m/>
    <n v="0"/>
    <n v="1"/>
    <n v="364"/>
    <n v="3"/>
    <x v="4"/>
    <n v="1"/>
    <n v="4"/>
    <n v="32"/>
    <n v="3"/>
    <n v="2"/>
    <n v="3"/>
    <n v="4317"/>
    <n v="2302"/>
    <n v="3"/>
    <n v="20"/>
    <n v="4"/>
    <n v="2"/>
    <n v="80"/>
    <n v="0"/>
    <n v="19"/>
    <n v="3"/>
    <n v="3"/>
    <n v="2"/>
    <n v="2"/>
    <n v="2"/>
  </r>
  <r>
    <x v="1"/>
    <s v="Travel_Rarely"/>
    <x v="2"/>
    <s v="Current Employees"/>
    <x v="1"/>
    <x v="0"/>
    <s v="STAFF-194"/>
    <n v="194"/>
    <x v="0"/>
    <x v="1"/>
    <x v="0"/>
    <s v="No"/>
    <s v="Y"/>
    <n v="4"/>
    <n v="-2"/>
    <n v="0"/>
    <n v="30"/>
    <n v="0"/>
    <m/>
    <n v="0"/>
    <n v="1"/>
    <n v="438"/>
    <n v="18"/>
    <x v="3"/>
    <n v="1"/>
    <n v="1"/>
    <n v="75"/>
    <n v="3"/>
    <n v="1"/>
    <n v="2"/>
    <n v="2632"/>
    <n v="23910"/>
    <n v="1"/>
    <n v="14"/>
    <n v="3"/>
    <n v="3"/>
    <n v="80"/>
    <n v="0"/>
    <n v="5"/>
    <n v="2"/>
    <n v="5"/>
    <n v="4"/>
    <n v="0"/>
    <n v="4"/>
  </r>
  <r>
    <x v="1"/>
    <s v="Travel_Frequently"/>
    <x v="2"/>
    <s v="Current Employees"/>
    <x v="0"/>
    <x v="2"/>
    <s v="STAFF-195"/>
    <n v="195"/>
    <x v="1"/>
    <x v="0"/>
    <x v="2"/>
    <s v="No"/>
    <s v="Y"/>
    <n v="2"/>
    <n v="-2"/>
    <n v="0"/>
    <n v="32"/>
    <n v="0"/>
    <m/>
    <n v="0"/>
    <n v="1"/>
    <n v="689"/>
    <n v="9"/>
    <x v="0"/>
    <n v="1"/>
    <n v="4"/>
    <n v="35"/>
    <n v="1"/>
    <n v="2"/>
    <n v="4"/>
    <n v="4668"/>
    <n v="22812"/>
    <n v="0"/>
    <n v="17"/>
    <n v="3"/>
    <n v="4"/>
    <n v="80"/>
    <n v="3"/>
    <n v="9"/>
    <n v="4"/>
    <n v="8"/>
    <n v="7"/>
    <n v="0"/>
    <n v="7"/>
  </r>
  <r>
    <x v="1"/>
    <s v="Travel_Rarely"/>
    <x v="2"/>
    <s v="Current Employees"/>
    <x v="1"/>
    <x v="4"/>
    <s v="STAFF-197"/>
    <n v="197"/>
    <x v="0"/>
    <x v="1"/>
    <x v="2"/>
    <s v="No"/>
    <s v="Y"/>
    <n v="3"/>
    <n v="-2"/>
    <n v="0"/>
    <n v="30"/>
    <n v="0"/>
    <m/>
    <n v="0"/>
    <n v="1"/>
    <n v="201"/>
    <n v="5"/>
    <x v="3"/>
    <n v="1"/>
    <n v="4"/>
    <n v="84"/>
    <n v="3"/>
    <n v="1"/>
    <n v="4"/>
    <n v="3204"/>
    <n v="10415"/>
    <n v="5"/>
    <n v="14"/>
    <n v="3"/>
    <n v="4"/>
    <n v="80"/>
    <n v="1"/>
    <n v="8"/>
    <n v="3"/>
    <n v="3"/>
    <n v="2"/>
    <n v="2"/>
    <n v="2"/>
  </r>
  <r>
    <x v="1"/>
    <s v="Travel_Rarely"/>
    <x v="2"/>
    <s v="Current Employees"/>
    <x v="1"/>
    <x v="2"/>
    <s v="STAFF-198"/>
    <n v="198"/>
    <x v="1"/>
    <x v="2"/>
    <x v="0"/>
    <s v="No"/>
    <s v="Y"/>
    <n v="3"/>
    <n v="-2"/>
    <n v="0"/>
    <n v="30"/>
    <n v="0"/>
    <m/>
    <n v="0"/>
    <n v="1"/>
    <n v="1427"/>
    <n v="2"/>
    <x v="1"/>
    <n v="1"/>
    <n v="2"/>
    <n v="35"/>
    <n v="2"/>
    <n v="1"/>
    <n v="4"/>
    <n v="2720"/>
    <n v="11162"/>
    <n v="0"/>
    <n v="13"/>
    <n v="3"/>
    <n v="4"/>
    <n v="80"/>
    <n v="0"/>
    <n v="6"/>
    <n v="3"/>
    <n v="5"/>
    <n v="3"/>
    <n v="1"/>
    <n v="2"/>
  </r>
  <r>
    <x v="1"/>
    <s v="Travel_Frequently"/>
    <x v="0"/>
    <s v="Current Employees"/>
    <x v="1"/>
    <x v="0"/>
    <s v="STAFF-199"/>
    <n v="199"/>
    <x v="1"/>
    <x v="5"/>
    <x v="2"/>
    <s v="No"/>
    <s v="Y"/>
    <n v="2"/>
    <n v="-2"/>
    <n v="0"/>
    <n v="41"/>
    <n v="0"/>
    <m/>
    <n v="0"/>
    <n v="1"/>
    <n v="857"/>
    <n v="10"/>
    <x v="3"/>
    <n v="1"/>
    <n v="4"/>
    <n v="91"/>
    <n v="2"/>
    <n v="4"/>
    <n v="2"/>
    <n v="17181"/>
    <n v="12888"/>
    <n v="4"/>
    <n v="13"/>
    <n v="3"/>
    <n v="2"/>
    <n v="80"/>
    <n v="1"/>
    <n v="21"/>
    <n v="2"/>
    <n v="7"/>
    <n v="6"/>
    <n v="7"/>
    <n v="7"/>
  </r>
  <r>
    <x v="1"/>
    <s v="Travel_Rarely"/>
    <x v="0"/>
    <s v="Current Employees"/>
    <x v="1"/>
    <x v="0"/>
    <s v="STAFF-200"/>
    <n v="200"/>
    <x v="1"/>
    <x v="2"/>
    <x v="1"/>
    <s v="No"/>
    <s v="Y"/>
    <n v="2"/>
    <n v="-2"/>
    <n v="0"/>
    <n v="41"/>
    <n v="0"/>
    <m/>
    <n v="0"/>
    <n v="1"/>
    <n v="933"/>
    <n v="9"/>
    <x v="2"/>
    <n v="1"/>
    <n v="3"/>
    <n v="94"/>
    <n v="3"/>
    <n v="1"/>
    <n v="2"/>
    <n v="2238"/>
    <n v="6961"/>
    <n v="2"/>
    <n v="21"/>
    <n v="4"/>
    <n v="4"/>
    <n v="80"/>
    <n v="1"/>
    <n v="7"/>
    <n v="3"/>
    <n v="5"/>
    <n v="0"/>
    <n v="1"/>
    <n v="4"/>
  </r>
  <r>
    <x v="1"/>
    <s v="Travel_Rarely"/>
    <x v="4"/>
    <s v="Current Employees"/>
    <x v="1"/>
    <x v="2"/>
    <s v="STAFF-201"/>
    <n v="201"/>
    <x v="0"/>
    <x v="2"/>
    <x v="0"/>
    <s v="No"/>
    <s v="Y"/>
    <n v="3"/>
    <n v="-2"/>
    <n v="0"/>
    <n v="19"/>
    <n v="0"/>
    <m/>
    <n v="0"/>
    <n v="1"/>
    <n v="1181"/>
    <n v="3"/>
    <x v="1"/>
    <n v="1"/>
    <n v="2"/>
    <n v="79"/>
    <n v="3"/>
    <n v="1"/>
    <n v="3"/>
    <n v="1483"/>
    <n v="16102"/>
    <n v="1"/>
    <n v="14"/>
    <n v="3"/>
    <n v="4"/>
    <n v="80"/>
    <n v="0"/>
    <n v="1"/>
    <n v="3"/>
    <n v="1"/>
    <n v="0"/>
    <n v="0"/>
    <n v="0"/>
  </r>
  <r>
    <x v="1"/>
    <s v="Travel_Frequently"/>
    <x v="0"/>
    <s v="Current Employees"/>
    <x v="1"/>
    <x v="2"/>
    <s v="STAFF-202"/>
    <n v="202"/>
    <x v="0"/>
    <x v="1"/>
    <x v="2"/>
    <s v="No"/>
    <s v="Y"/>
    <n v="2"/>
    <n v="-2"/>
    <n v="0"/>
    <n v="40"/>
    <n v="0"/>
    <m/>
    <n v="0"/>
    <n v="1"/>
    <n v="1395"/>
    <n v="26"/>
    <x v="3"/>
    <n v="1"/>
    <n v="2"/>
    <n v="54"/>
    <n v="3"/>
    <n v="2"/>
    <n v="3"/>
    <n v="5605"/>
    <n v="8504"/>
    <n v="1"/>
    <n v="11"/>
    <n v="3"/>
    <n v="1"/>
    <n v="80"/>
    <n v="1"/>
    <n v="20"/>
    <n v="3"/>
    <n v="20"/>
    <n v="7"/>
    <n v="2"/>
    <n v="13"/>
  </r>
  <r>
    <x v="1"/>
    <s v="Travel_Rarely"/>
    <x v="0"/>
    <s v="Current Employees"/>
    <x v="0"/>
    <x v="3"/>
    <s v="STAFF-204"/>
    <n v="204"/>
    <x v="1"/>
    <x v="0"/>
    <x v="1"/>
    <s v="No"/>
    <s v="Y"/>
    <n v="3"/>
    <n v="-2"/>
    <n v="0"/>
    <n v="35"/>
    <n v="0"/>
    <m/>
    <n v="0"/>
    <n v="1"/>
    <n v="662"/>
    <n v="1"/>
    <x v="4"/>
    <n v="1"/>
    <n v="3"/>
    <n v="94"/>
    <n v="3"/>
    <n v="3"/>
    <n v="3"/>
    <n v="7295"/>
    <n v="11439"/>
    <n v="1"/>
    <n v="13"/>
    <n v="3"/>
    <n v="1"/>
    <n v="80"/>
    <n v="2"/>
    <n v="10"/>
    <n v="3"/>
    <n v="10"/>
    <n v="8"/>
    <n v="0"/>
    <n v="6"/>
  </r>
  <r>
    <x v="1"/>
    <s v="Travel_Rarely"/>
    <x v="1"/>
    <s v="Current Employees"/>
    <x v="0"/>
    <x v="3"/>
    <s v="STAFF-205"/>
    <n v="205"/>
    <x v="1"/>
    <x v="6"/>
    <x v="1"/>
    <s v="Yes"/>
    <s v="Y"/>
    <n v="3"/>
    <n v="-2"/>
    <n v="0"/>
    <n v="53"/>
    <n v="0"/>
    <m/>
    <n v="0"/>
    <n v="1"/>
    <n v="1436"/>
    <n v="6"/>
    <x v="0"/>
    <n v="1"/>
    <n v="2"/>
    <n v="34"/>
    <n v="3"/>
    <n v="2"/>
    <n v="3"/>
    <n v="2306"/>
    <n v="16047"/>
    <n v="2"/>
    <n v="20"/>
    <n v="4"/>
    <n v="4"/>
    <n v="80"/>
    <n v="1"/>
    <n v="13"/>
    <n v="1"/>
    <n v="7"/>
    <n v="7"/>
    <n v="4"/>
    <n v="5"/>
  </r>
  <r>
    <x v="1"/>
    <s v="Travel_Rarely"/>
    <x v="1"/>
    <s v="Current Employees"/>
    <x v="1"/>
    <x v="0"/>
    <s v="STAFF-206"/>
    <n v="206"/>
    <x v="1"/>
    <x v="2"/>
    <x v="2"/>
    <s v="No"/>
    <s v="Y"/>
    <n v="2"/>
    <n v="-2"/>
    <n v="0"/>
    <n v="45"/>
    <n v="0"/>
    <m/>
    <n v="0"/>
    <n v="1"/>
    <n v="194"/>
    <n v="9"/>
    <x v="3"/>
    <n v="1"/>
    <n v="2"/>
    <n v="60"/>
    <n v="3"/>
    <n v="2"/>
    <n v="2"/>
    <n v="2348"/>
    <n v="10901"/>
    <n v="8"/>
    <n v="18"/>
    <n v="3"/>
    <n v="3"/>
    <n v="80"/>
    <n v="1"/>
    <n v="20"/>
    <n v="1"/>
    <n v="17"/>
    <n v="9"/>
    <n v="0"/>
    <n v="15"/>
  </r>
  <r>
    <x v="1"/>
    <s v="Travel_Frequently"/>
    <x v="2"/>
    <s v="Current Employees"/>
    <x v="0"/>
    <x v="3"/>
    <s v="STAFF-207"/>
    <n v="207"/>
    <x v="0"/>
    <x v="0"/>
    <x v="0"/>
    <s v="No"/>
    <s v="Y"/>
    <n v="2"/>
    <n v="-2"/>
    <n v="0"/>
    <n v="32"/>
    <n v="0"/>
    <m/>
    <n v="0"/>
    <n v="1"/>
    <n v="967"/>
    <n v="8"/>
    <x v="3"/>
    <n v="1"/>
    <n v="2"/>
    <n v="43"/>
    <n v="3"/>
    <n v="3"/>
    <n v="4"/>
    <n v="8998"/>
    <n v="15589"/>
    <n v="1"/>
    <n v="14"/>
    <n v="3"/>
    <n v="4"/>
    <n v="80"/>
    <n v="0"/>
    <n v="9"/>
    <n v="3"/>
    <n v="9"/>
    <n v="8"/>
    <n v="3"/>
    <n v="7"/>
  </r>
  <r>
    <x v="1"/>
    <s v="Non-Travel"/>
    <x v="2"/>
    <s v="Current Employees"/>
    <x v="1"/>
    <x v="4"/>
    <s v="STAFF-208"/>
    <n v="208"/>
    <x v="1"/>
    <x v="3"/>
    <x v="1"/>
    <s v="No"/>
    <s v="Y"/>
    <n v="1"/>
    <n v="-2"/>
    <n v="0"/>
    <n v="29"/>
    <n v="0"/>
    <m/>
    <n v="0"/>
    <n v="1"/>
    <n v="1496"/>
    <n v="1"/>
    <x v="1"/>
    <n v="1"/>
    <n v="4"/>
    <n v="41"/>
    <n v="3"/>
    <n v="2"/>
    <n v="4"/>
    <n v="4319"/>
    <n v="26283"/>
    <n v="1"/>
    <n v="13"/>
    <n v="3"/>
    <n v="1"/>
    <n v="80"/>
    <n v="1"/>
    <n v="10"/>
    <n v="3"/>
    <n v="10"/>
    <n v="7"/>
    <n v="0"/>
    <n v="9"/>
  </r>
  <r>
    <x v="1"/>
    <s v="Travel_Rarely"/>
    <x v="1"/>
    <s v="Current Employees"/>
    <x v="1"/>
    <x v="2"/>
    <s v="STAFF-211"/>
    <n v="211"/>
    <x v="1"/>
    <x v="3"/>
    <x v="1"/>
    <s v="No"/>
    <s v="Y"/>
    <n v="2"/>
    <n v="-2"/>
    <n v="0"/>
    <n v="51"/>
    <n v="0"/>
    <m/>
    <n v="0"/>
    <n v="1"/>
    <n v="1169"/>
    <n v="7"/>
    <x v="2"/>
    <n v="1"/>
    <n v="2"/>
    <n v="34"/>
    <n v="2"/>
    <n v="2"/>
    <n v="3"/>
    <n v="6132"/>
    <n v="13983"/>
    <n v="2"/>
    <n v="17"/>
    <n v="3"/>
    <n v="3"/>
    <n v="80"/>
    <n v="0"/>
    <n v="10"/>
    <n v="3"/>
    <n v="1"/>
    <n v="0"/>
    <n v="0"/>
    <n v="0"/>
  </r>
  <r>
    <x v="1"/>
    <s v="Travel_Rarely"/>
    <x v="3"/>
    <s v="Current Employees"/>
    <x v="1"/>
    <x v="2"/>
    <s v="STAFF-214"/>
    <n v="214"/>
    <x v="0"/>
    <x v="1"/>
    <x v="1"/>
    <s v="Yes"/>
    <s v="Y"/>
    <n v="3"/>
    <n v="-2"/>
    <n v="0"/>
    <n v="58"/>
    <n v="0"/>
    <m/>
    <n v="0"/>
    <n v="1"/>
    <n v="1145"/>
    <n v="9"/>
    <x v="3"/>
    <n v="1"/>
    <n v="2"/>
    <n v="75"/>
    <n v="2"/>
    <n v="1"/>
    <n v="3"/>
    <n v="3346"/>
    <n v="11873"/>
    <n v="4"/>
    <n v="20"/>
    <n v="4"/>
    <n v="2"/>
    <n v="80"/>
    <n v="1"/>
    <n v="9"/>
    <n v="2"/>
    <n v="1"/>
    <n v="0"/>
    <n v="0"/>
    <n v="0"/>
  </r>
  <r>
    <x v="1"/>
    <s v="Travel_Rarely"/>
    <x v="0"/>
    <s v="Current Employees"/>
    <x v="0"/>
    <x v="3"/>
    <s v="STAFF-215"/>
    <n v="215"/>
    <x v="1"/>
    <x v="0"/>
    <x v="1"/>
    <s v="No"/>
    <s v="Y"/>
    <n v="2"/>
    <n v="-2"/>
    <n v="0"/>
    <n v="40"/>
    <n v="0"/>
    <m/>
    <n v="0"/>
    <n v="1"/>
    <n v="630"/>
    <n v="4"/>
    <x v="2"/>
    <n v="1"/>
    <n v="3"/>
    <n v="67"/>
    <n v="2"/>
    <n v="3"/>
    <n v="4"/>
    <n v="10855"/>
    <n v="8552"/>
    <n v="7"/>
    <n v="11"/>
    <n v="3"/>
    <n v="1"/>
    <n v="80"/>
    <n v="1"/>
    <n v="15"/>
    <n v="2"/>
    <n v="12"/>
    <n v="11"/>
    <n v="2"/>
    <n v="11"/>
  </r>
  <r>
    <x v="1"/>
    <s v="Travel_Frequently"/>
    <x v="2"/>
    <s v="Current Employees"/>
    <x v="0"/>
    <x v="3"/>
    <s v="STAFF-216"/>
    <n v="216"/>
    <x v="0"/>
    <x v="6"/>
    <x v="1"/>
    <s v="No"/>
    <s v="Y"/>
    <n v="3"/>
    <n v="-2"/>
    <n v="0"/>
    <n v="34"/>
    <n v="0"/>
    <m/>
    <n v="0"/>
    <n v="1"/>
    <n v="303"/>
    <n v="2"/>
    <x v="2"/>
    <n v="1"/>
    <n v="3"/>
    <n v="75"/>
    <n v="3"/>
    <n v="1"/>
    <n v="3"/>
    <n v="2231"/>
    <n v="11314"/>
    <n v="6"/>
    <n v="18"/>
    <n v="3"/>
    <n v="4"/>
    <n v="80"/>
    <n v="1"/>
    <n v="6"/>
    <n v="3"/>
    <n v="4"/>
    <n v="3"/>
    <n v="1"/>
    <n v="2"/>
  </r>
  <r>
    <x v="1"/>
    <s v="Travel_Rarely"/>
    <x v="4"/>
    <s v="Current Employees"/>
    <x v="1"/>
    <x v="2"/>
    <s v="STAFF-217"/>
    <n v="217"/>
    <x v="1"/>
    <x v="1"/>
    <x v="1"/>
    <s v="No"/>
    <s v="Y"/>
    <n v="6"/>
    <n v="-2"/>
    <n v="0"/>
    <n v="22"/>
    <n v="0"/>
    <m/>
    <n v="0"/>
    <n v="1"/>
    <n v="1256"/>
    <n v="19"/>
    <x v="1"/>
    <n v="1"/>
    <n v="3"/>
    <n v="80"/>
    <n v="3"/>
    <n v="1"/>
    <n v="4"/>
    <n v="2323"/>
    <n v="11992"/>
    <n v="1"/>
    <n v="24"/>
    <n v="4"/>
    <n v="1"/>
    <n v="80"/>
    <n v="2"/>
    <n v="2"/>
    <n v="3"/>
    <n v="2"/>
    <n v="2"/>
    <n v="2"/>
    <n v="2"/>
  </r>
  <r>
    <x v="1"/>
    <s v="Non-Travel"/>
    <x v="2"/>
    <s v="Current Employees"/>
    <x v="1"/>
    <x v="2"/>
    <s v="STAFF-218"/>
    <n v="218"/>
    <x v="1"/>
    <x v="1"/>
    <x v="2"/>
    <s v="No"/>
    <s v="Y"/>
    <n v="1"/>
    <n v="-2"/>
    <n v="0"/>
    <n v="27"/>
    <n v="0"/>
    <m/>
    <n v="0"/>
    <n v="1"/>
    <n v="691"/>
    <n v="9"/>
    <x v="3"/>
    <n v="1"/>
    <n v="4"/>
    <n v="57"/>
    <n v="3"/>
    <n v="1"/>
    <n v="3"/>
    <n v="2024"/>
    <n v="5970"/>
    <n v="6"/>
    <n v="18"/>
    <n v="3"/>
    <n v="4"/>
    <n v="80"/>
    <n v="1"/>
    <n v="6"/>
    <n v="1"/>
    <n v="2"/>
    <n v="2"/>
    <n v="2"/>
    <n v="2"/>
  </r>
  <r>
    <x v="1"/>
    <s v="Travel_Rarely"/>
    <x v="2"/>
    <s v="Current Employees"/>
    <x v="1"/>
    <x v="2"/>
    <s v="STAFF-221"/>
    <n v="221"/>
    <x v="1"/>
    <x v="1"/>
    <x v="1"/>
    <s v="No"/>
    <s v="Y"/>
    <n v="2"/>
    <n v="-2"/>
    <n v="0"/>
    <n v="28"/>
    <n v="0"/>
    <m/>
    <n v="0"/>
    <n v="1"/>
    <n v="440"/>
    <n v="21"/>
    <x v="3"/>
    <n v="1"/>
    <n v="3"/>
    <n v="42"/>
    <n v="3"/>
    <n v="1"/>
    <n v="4"/>
    <n v="2713"/>
    <n v="6672"/>
    <n v="1"/>
    <n v="11"/>
    <n v="3"/>
    <n v="3"/>
    <n v="80"/>
    <n v="1"/>
    <n v="5"/>
    <n v="1"/>
    <n v="5"/>
    <n v="2"/>
    <n v="0"/>
    <n v="2"/>
  </r>
  <r>
    <x v="1"/>
    <s v="Travel_Rarely"/>
    <x v="3"/>
    <s v="Current Employees"/>
    <x v="1"/>
    <x v="0"/>
    <s v="STAFF-223"/>
    <n v="223"/>
    <x v="1"/>
    <x v="4"/>
    <x v="2"/>
    <s v="Yes"/>
    <s v="Y"/>
    <n v="2"/>
    <n v="-2"/>
    <n v="0"/>
    <n v="57"/>
    <n v="0"/>
    <m/>
    <n v="0"/>
    <n v="1"/>
    <n v="334"/>
    <n v="24"/>
    <x v="0"/>
    <n v="1"/>
    <n v="3"/>
    <n v="83"/>
    <n v="4"/>
    <n v="3"/>
    <n v="2"/>
    <n v="9439"/>
    <n v="23402"/>
    <n v="3"/>
    <n v="16"/>
    <n v="3"/>
    <n v="2"/>
    <n v="80"/>
    <n v="1"/>
    <n v="12"/>
    <n v="1"/>
    <n v="5"/>
    <n v="3"/>
    <n v="1"/>
    <n v="4"/>
  </r>
  <r>
    <x v="1"/>
    <s v="Non-Travel"/>
    <x v="2"/>
    <s v="Current Employees"/>
    <x v="1"/>
    <x v="2"/>
    <s v="STAFF-224"/>
    <n v="224"/>
    <x v="1"/>
    <x v="1"/>
    <x v="2"/>
    <s v="Yes"/>
    <s v="Y"/>
    <n v="2"/>
    <n v="-2"/>
    <n v="0"/>
    <n v="27"/>
    <n v="0"/>
    <m/>
    <n v="0"/>
    <n v="1"/>
    <n v="1450"/>
    <n v="3"/>
    <x v="3"/>
    <n v="1"/>
    <n v="3"/>
    <n v="79"/>
    <n v="2"/>
    <n v="1"/>
    <n v="3"/>
    <n v="2566"/>
    <n v="25326"/>
    <n v="1"/>
    <n v="15"/>
    <n v="3"/>
    <n v="4"/>
    <n v="80"/>
    <n v="1"/>
    <n v="1"/>
    <n v="2"/>
    <n v="1"/>
    <n v="1"/>
    <n v="0"/>
    <n v="1"/>
  </r>
  <r>
    <x v="1"/>
    <s v="Travel_Rarely"/>
    <x v="1"/>
    <s v="Current Employees"/>
    <x v="1"/>
    <x v="0"/>
    <s v="STAFF-226"/>
    <n v="226"/>
    <x v="0"/>
    <x v="5"/>
    <x v="0"/>
    <s v="No"/>
    <s v="Y"/>
    <n v="5"/>
    <n v="-2"/>
    <n v="0"/>
    <n v="50"/>
    <n v="0"/>
    <m/>
    <n v="0"/>
    <n v="1"/>
    <n v="1452"/>
    <n v="11"/>
    <x v="3"/>
    <n v="1"/>
    <n v="3"/>
    <n v="53"/>
    <n v="3"/>
    <n v="5"/>
    <n v="2"/>
    <n v="19926"/>
    <n v="17053"/>
    <n v="3"/>
    <n v="15"/>
    <n v="3"/>
    <n v="2"/>
    <n v="80"/>
    <n v="0"/>
    <n v="21"/>
    <n v="3"/>
    <n v="5"/>
    <n v="4"/>
    <n v="4"/>
    <n v="4"/>
  </r>
  <r>
    <x v="1"/>
    <s v="Travel_Rarely"/>
    <x v="0"/>
    <s v="Current Employees"/>
    <x v="1"/>
    <x v="0"/>
    <s v="STAFF-227"/>
    <n v="227"/>
    <x v="1"/>
    <x v="1"/>
    <x v="2"/>
    <s v="No"/>
    <s v="Y"/>
    <n v="2"/>
    <n v="-2"/>
    <n v="0"/>
    <n v="41"/>
    <n v="0"/>
    <m/>
    <n v="0"/>
    <n v="1"/>
    <n v="465"/>
    <n v="14"/>
    <x v="3"/>
    <n v="1"/>
    <n v="1"/>
    <n v="56"/>
    <n v="3"/>
    <n v="1"/>
    <n v="2"/>
    <n v="2451"/>
    <n v="4609"/>
    <n v="4"/>
    <n v="12"/>
    <n v="3"/>
    <n v="1"/>
    <n v="80"/>
    <n v="1"/>
    <n v="13"/>
    <n v="3"/>
    <n v="9"/>
    <n v="8"/>
    <n v="1"/>
    <n v="8"/>
  </r>
  <r>
    <x v="1"/>
    <s v="Travel_Rarely"/>
    <x v="2"/>
    <s v="Current Employees"/>
    <x v="0"/>
    <x v="0"/>
    <s v="STAFF-228"/>
    <n v="228"/>
    <x v="0"/>
    <x v="0"/>
    <x v="1"/>
    <s v="No"/>
    <s v="Y"/>
    <n v="2"/>
    <n v="-2"/>
    <n v="0"/>
    <n v="30"/>
    <n v="0"/>
    <m/>
    <n v="0"/>
    <n v="1"/>
    <n v="1339"/>
    <n v="5"/>
    <x v="3"/>
    <n v="1"/>
    <n v="2"/>
    <n v="41"/>
    <n v="3"/>
    <n v="3"/>
    <n v="2"/>
    <n v="9419"/>
    <n v="8053"/>
    <n v="2"/>
    <n v="12"/>
    <n v="3"/>
    <n v="3"/>
    <n v="80"/>
    <n v="1"/>
    <n v="12"/>
    <n v="3"/>
    <n v="10"/>
    <n v="9"/>
    <n v="7"/>
    <n v="4"/>
  </r>
  <r>
    <x v="1"/>
    <s v="Travel_Rarely"/>
    <x v="0"/>
    <s v="Current Employees"/>
    <x v="0"/>
    <x v="0"/>
    <s v="STAFF-230"/>
    <n v="230"/>
    <x v="0"/>
    <x v="0"/>
    <x v="0"/>
    <s v="No"/>
    <s v="Y"/>
    <n v="2"/>
    <n v="-2"/>
    <n v="0"/>
    <n v="38"/>
    <n v="0"/>
    <m/>
    <n v="0"/>
    <n v="1"/>
    <n v="702"/>
    <n v="1"/>
    <x v="2"/>
    <n v="1"/>
    <n v="1"/>
    <n v="59"/>
    <n v="2"/>
    <n v="2"/>
    <n v="2"/>
    <n v="8686"/>
    <n v="12930"/>
    <n v="4"/>
    <n v="22"/>
    <n v="4"/>
    <n v="3"/>
    <n v="80"/>
    <n v="0"/>
    <n v="12"/>
    <n v="4"/>
    <n v="8"/>
    <n v="3"/>
    <n v="0"/>
    <n v="7"/>
  </r>
  <r>
    <x v="1"/>
    <s v="Travel_Rarely"/>
    <x v="2"/>
    <s v="Current Employees"/>
    <x v="1"/>
    <x v="0"/>
    <s v="STAFF-231"/>
    <n v="231"/>
    <x v="1"/>
    <x v="1"/>
    <x v="0"/>
    <s v="No"/>
    <s v="Y"/>
    <n v="2"/>
    <n v="-2"/>
    <n v="0"/>
    <n v="32"/>
    <n v="0"/>
    <m/>
    <n v="0"/>
    <n v="1"/>
    <n v="120"/>
    <n v="6"/>
    <x v="4"/>
    <n v="1"/>
    <n v="3"/>
    <n v="43"/>
    <n v="3"/>
    <n v="1"/>
    <n v="2"/>
    <n v="3038"/>
    <n v="12430"/>
    <n v="3"/>
    <n v="20"/>
    <n v="4"/>
    <n v="1"/>
    <n v="80"/>
    <n v="0"/>
    <n v="8"/>
    <n v="3"/>
    <n v="5"/>
    <n v="4"/>
    <n v="1"/>
    <n v="4"/>
  </r>
  <r>
    <x v="1"/>
    <s v="Travel_Rarely"/>
    <x v="2"/>
    <s v="Current Employees"/>
    <x v="1"/>
    <x v="4"/>
    <s v="STAFF-233"/>
    <n v="233"/>
    <x v="1"/>
    <x v="1"/>
    <x v="1"/>
    <s v="Yes"/>
    <s v="Y"/>
    <n v="3"/>
    <n v="-2"/>
    <n v="0"/>
    <n v="27"/>
    <n v="0"/>
    <m/>
    <n v="0"/>
    <n v="1"/>
    <n v="1157"/>
    <n v="17"/>
    <x v="3"/>
    <n v="1"/>
    <n v="3"/>
    <n v="51"/>
    <n v="3"/>
    <n v="1"/>
    <n v="4"/>
    <n v="3058"/>
    <n v="13364"/>
    <n v="0"/>
    <n v="16"/>
    <n v="3"/>
    <n v="4"/>
    <n v="80"/>
    <n v="1"/>
    <n v="6"/>
    <n v="2"/>
    <n v="5"/>
    <n v="2"/>
    <n v="1"/>
    <n v="1"/>
  </r>
  <r>
    <x v="0"/>
    <s v="Travel_Frequently"/>
    <x v="4"/>
    <s v="Ex-Employees"/>
    <x v="0"/>
    <x v="4"/>
    <s v="STAFF-235"/>
    <n v="235"/>
    <x v="0"/>
    <x v="6"/>
    <x v="0"/>
    <s v="No"/>
    <s v="Y"/>
    <n v="5"/>
    <n v="-2"/>
    <n v="0"/>
    <n v="19"/>
    <n v="1"/>
    <n v="1"/>
    <n v="1"/>
    <n v="0"/>
    <n v="602"/>
    <n v="1"/>
    <x v="1"/>
    <n v="1"/>
    <n v="3"/>
    <n v="100"/>
    <n v="1"/>
    <n v="1"/>
    <n v="4"/>
    <n v="2325"/>
    <n v="20989"/>
    <n v="0"/>
    <n v="21"/>
    <n v="4"/>
    <n v="1"/>
    <n v="80"/>
    <n v="0"/>
    <n v="1"/>
    <n v="4"/>
    <n v="0"/>
    <n v="0"/>
    <n v="0"/>
    <n v="0"/>
  </r>
  <r>
    <x v="1"/>
    <s v="Travel_Frequently"/>
    <x v="0"/>
    <s v="Current Employees"/>
    <x v="1"/>
    <x v="2"/>
    <s v="STAFF-238"/>
    <n v="238"/>
    <x v="1"/>
    <x v="2"/>
    <x v="0"/>
    <s v="No"/>
    <s v="Y"/>
    <n v="3"/>
    <n v="-2"/>
    <n v="0"/>
    <n v="36"/>
    <n v="0"/>
    <m/>
    <n v="0"/>
    <n v="1"/>
    <n v="1480"/>
    <n v="3"/>
    <x v="0"/>
    <n v="1"/>
    <n v="4"/>
    <n v="30"/>
    <n v="3"/>
    <n v="1"/>
    <n v="3"/>
    <n v="2088"/>
    <n v="15062"/>
    <n v="4"/>
    <n v="12"/>
    <n v="3"/>
    <n v="3"/>
    <n v="80"/>
    <n v="0"/>
    <n v="13"/>
    <n v="2"/>
    <n v="8"/>
    <n v="7"/>
    <n v="7"/>
    <n v="2"/>
  </r>
  <r>
    <x v="1"/>
    <s v="Non-Travel"/>
    <x v="2"/>
    <s v="Current Employees"/>
    <x v="1"/>
    <x v="2"/>
    <s v="STAFF-239"/>
    <n v="239"/>
    <x v="1"/>
    <x v="2"/>
    <x v="2"/>
    <s v="No"/>
    <s v="Y"/>
    <n v="4"/>
    <n v="-2"/>
    <n v="0"/>
    <n v="30"/>
    <n v="0"/>
    <m/>
    <n v="0"/>
    <n v="1"/>
    <n v="111"/>
    <n v="9"/>
    <x v="3"/>
    <n v="1"/>
    <n v="3"/>
    <n v="66"/>
    <n v="3"/>
    <n v="2"/>
    <n v="1"/>
    <n v="3072"/>
    <n v="11012"/>
    <n v="1"/>
    <n v="11"/>
    <n v="3"/>
    <n v="3"/>
    <n v="80"/>
    <n v="2"/>
    <n v="12"/>
    <n v="3"/>
    <n v="12"/>
    <n v="9"/>
    <n v="6"/>
    <n v="10"/>
  </r>
  <r>
    <x v="1"/>
    <s v="Travel_Rarely"/>
    <x v="1"/>
    <s v="Current Employees"/>
    <x v="0"/>
    <x v="0"/>
    <s v="STAFF-240"/>
    <n v="240"/>
    <x v="0"/>
    <x v="0"/>
    <x v="2"/>
    <s v="Yes"/>
    <s v="Y"/>
    <n v="3"/>
    <n v="-2"/>
    <n v="0"/>
    <n v="45"/>
    <n v="0"/>
    <m/>
    <n v="0"/>
    <n v="1"/>
    <n v="1268"/>
    <n v="4"/>
    <x v="0"/>
    <n v="1"/>
    <n v="3"/>
    <n v="30"/>
    <n v="3"/>
    <n v="2"/>
    <n v="2"/>
    <n v="5006"/>
    <n v="6319"/>
    <n v="4"/>
    <n v="11"/>
    <n v="3"/>
    <n v="1"/>
    <n v="80"/>
    <n v="1"/>
    <n v="9"/>
    <n v="4"/>
    <n v="5"/>
    <n v="4"/>
    <n v="0"/>
    <n v="3"/>
  </r>
  <r>
    <x v="1"/>
    <s v="Travel_Rarely"/>
    <x v="3"/>
    <s v="Current Employees"/>
    <x v="1"/>
    <x v="0"/>
    <s v="STAFF-241"/>
    <n v="241"/>
    <x v="0"/>
    <x v="1"/>
    <x v="2"/>
    <s v="Yes"/>
    <s v="Y"/>
    <n v="3"/>
    <n v="-2"/>
    <n v="0"/>
    <n v="56"/>
    <n v="0"/>
    <m/>
    <n v="0"/>
    <n v="1"/>
    <n v="713"/>
    <n v="8"/>
    <x v="3"/>
    <n v="1"/>
    <n v="3"/>
    <n v="67"/>
    <n v="3"/>
    <n v="1"/>
    <n v="2"/>
    <n v="4257"/>
    <n v="13939"/>
    <n v="4"/>
    <n v="18"/>
    <n v="3"/>
    <n v="3"/>
    <n v="80"/>
    <n v="1"/>
    <n v="19"/>
    <n v="3"/>
    <n v="2"/>
    <n v="2"/>
    <n v="2"/>
    <n v="2"/>
  </r>
  <r>
    <x v="1"/>
    <s v="Travel_Rarely"/>
    <x v="2"/>
    <s v="Current Employees"/>
    <x v="1"/>
    <x v="0"/>
    <s v="STAFF-242"/>
    <n v="242"/>
    <x v="1"/>
    <x v="1"/>
    <x v="0"/>
    <s v="No"/>
    <s v="Y"/>
    <n v="2"/>
    <n v="-2"/>
    <n v="0"/>
    <n v="33"/>
    <n v="0"/>
    <m/>
    <n v="0"/>
    <n v="1"/>
    <n v="134"/>
    <n v="2"/>
    <x v="3"/>
    <n v="1"/>
    <n v="3"/>
    <n v="90"/>
    <n v="3"/>
    <n v="1"/>
    <n v="2"/>
    <n v="2500"/>
    <n v="10515"/>
    <n v="0"/>
    <n v="14"/>
    <n v="3"/>
    <n v="1"/>
    <n v="80"/>
    <n v="0"/>
    <n v="4"/>
    <n v="4"/>
    <n v="3"/>
    <n v="1"/>
    <n v="0"/>
    <n v="2"/>
  </r>
  <r>
    <x v="0"/>
    <s v="Travel_Rarely"/>
    <x v="4"/>
    <s v="Ex-Employees"/>
    <x v="1"/>
    <x v="0"/>
    <s v="STAFF-243"/>
    <n v="243"/>
    <x v="1"/>
    <x v="2"/>
    <x v="0"/>
    <s v="No"/>
    <s v="Y"/>
    <n v="3"/>
    <n v="-2"/>
    <n v="0"/>
    <n v="19"/>
    <n v="1"/>
    <n v="1"/>
    <n v="1"/>
    <n v="0"/>
    <n v="303"/>
    <n v="2"/>
    <x v="3"/>
    <n v="1"/>
    <n v="2"/>
    <n v="47"/>
    <n v="2"/>
    <n v="1"/>
    <n v="2"/>
    <n v="1102"/>
    <n v="9241"/>
    <n v="1"/>
    <n v="22"/>
    <n v="4"/>
    <n v="3"/>
    <n v="80"/>
    <n v="0"/>
    <n v="1"/>
    <n v="2"/>
    <n v="1"/>
    <n v="0"/>
    <n v="1"/>
    <n v="0"/>
  </r>
  <r>
    <x v="1"/>
    <s v="Travel_Rarely"/>
    <x v="1"/>
    <s v="Current Employees"/>
    <x v="0"/>
    <x v="3"/>
    <s v="STAFF-244"/>
    <n v="244"/>
    <x v="0"/>
    <x v="0"/>
    <x v="2"/>
    <s v="No"/>
    <s v="Y"/>
    <n v="2"/>
    <n v="-2"/>
    <n v="0"/>
    <n v="46"/>
    <n v="0"/>
    <m/>
    <n v="0"/>
    <n v="1"/>
    <n v="526"/>
    <n v="1"/>
    <x v="0"/>
    <n v="1"/>
    <n v="2"/>
    <n v="92"/>
    <n v="3"/>
    <n v="3"/>
    <n v="1"/>
    <n v="10453"/>
    <n v="2137"/>
    <n v="1"/>
    <n v="25"/>
    <n v="4"/>
    <n v="3"/>
    <n v="80"/>
    <n v="3"/>
    <n v="24"/>
    <n v="3"/>
    <n v="24"/>
    <n v="13"/>
    <n v="15"/>
    <n v="7"/>
  </r>
  <r>
    <x v="1"/>
    <s v="Travel_Rarely"/>
    <x v="0"/>
    <s v="Current Employees"/>
    <x v="1"/>
    <x v="0"/>
    <s v="STAFF-245"/>
    <n v="245"/>
    <x v="0"/>
    <x v="2"/>
    <x v="0"/>
    <s v="No"/>
    <s v="Y"/>
    <n v="3"/>
    <n v="-2"/>
    <n v="0"/>
    <n v="38"/>
    <n v="0"/>
    <m/>
    <n v="0"/>
    <n v="1"/>
    <n v="1380"/>
    <n v="9"/>
    <x v="0"/>
    <n v="1"/>
    <n v="3"/>
    <n v="75"/>
    <n v="3"/>
    <n v="1"/>
    <n v="2"/>
    <n v="2288"/>
    <n v="6319"/>
    <n v="1"/>
    <n v="12"/>
    <n v="3"/>
    <n v="3"/>
    <n v="80"/>
    <n v="0"/>
    <n v="2"/>
    <n v="3"/>
    <n v="2"/>
    <n v="2"/>
    <n v="2"/>
    <n v="1"/>
  </r>
  <r>
    <x v="1"/>
    <s v="Travel_Rarely"/>
    <x v="2"/>
    <s v="Current Employees"/>
    <x v="1"/>
    <x v="2"/>
    <s v="STAFF-246"/>
    <n v="246"/>
    <x v="0"/>
    <x v="1"/>
    <x v="1"/>
    <s v="Yes"/>
    <s v="Y"/>
    <n v="0"/>
    <n v="-2"/>
    <n v="0"/>
    <n v="31"/>
    <n v="0"/>
    <m/>
    <n v="0"/>
    <n v="1"/>
    <n v="140"/>
    <n v="12"/>
    <x v="1"/>
    <n v="1"/>
    <n v="3"/>
    <n v="95"/>
    <n v="3"/>
    <n v="1"/>
    <n v="4"/>
    <n v="3929"/>
    <n v="6984"/>
    <n v="8"/>
    <n v="23"/>
    <n v="4"/>
    <n v="3"/>
    <n v="80"/>
    <n v="1"/>
    <n v="7"/>
    <n v="3"/>
    <n v="4"/>
    <n v="2"/>
    <n v="0"/>
    <n v="2"/>
  </r>
  <r>
    <x v="1"/>
    <s v="Travel_Rarely"/>
    <x v="2"/>
    <s v="Current Employees"/>
    <x v="1"/>
    <x v="2"/>
    <s v="STAFF-247"/>
    <n v="247"/>
    <x v="0"/>
    <x v="1"/>
    <x v="0"/>
    <s v="No"/>
    <s v="Y"/>
    <n v="3"/>
    <n v="-2"/>
    <n v="0"/>
    <n v="34"/>
    <n v="0"/>
    <m/>
    <n v="0"/>
    <n v="1"/>
    <n v="629"/>
    <n v="27"/>
    <x v="0"/>
    <n v="1"/>
    <n v="4"/>
    <n v="95"/>
    <n v="3"/>
    <n v="1"/>
    <n v="3"/>
    <n v="2311"/>
    <n v="5711"/>
    <n v="2"/>
    <n v="15"/>
    <n v="3"/>
    <n v="4"/>
    <n v="80"/>
    <n v="0"/>
    <n v="9"/>
    <n v="3"/>
    <n v="3"/>
    <n v="2"/>
    <n v="1"/>
    <n v="2"/>
  </r>
  <r>
    <x v="0"/>
    <s v="Travel_Rarely"/>
    <x v="0"/>
    <s v="Ex-Employees"/>
    <x v="0"/>
    <x v="3"/>
    <s v="STAFF-248"/>
    <n v="248"/>
    <x v="0"/>
    <x v="6"/>
    <x v="0"/>
    <s v="Yes"/>
    <s v="Y"/>
    <n v="5"/>
    <n v="-2"/>
    <n v="0"/>
    <n v="41"/>
    <n v="1"/>
    <n v="1"/>
    <n v="1"/>
    <n v="0"/>
    <n v="1356"/>
    <n v="20"/>
    <x v="0"/>
    <n v="1"/>
    <n v="2"/>
    <n v="70"/>
    <n v="3"/>
    <n v="1"/>
    <n v="3"/>
    <n v="3140"/>
    <n v="21728"/>
    <n v="1"/>
    <n v="22"/>
    <n v="4"/>
    <n v="4"/>
    <n v="80"/>
    <n v="0"/>
    <n v="4"/>
    <n v="2"/>
    <n v="4"/>
    <n v="3"/>
    <n v="0"/>
    <n v="2"/>
  </r>
  <r>
    <x v="1"/>
    <s v="Travel_Rarely"/>
    <x v="1"/>
    <s v="Current Employees"/>
    <x v="1"/>
    <x v="2"/>
    <s v="STAFF-249"/>
    <n v="249"/>
    <x v="1"/>
    <x v="2"/>
    <x v="1"/>
    <s v="No"/>
    <s v="Y"/>
    <n v="2"/>
    <n v="-2"/>
    <n v="0"/>
    <n v="50"/>
    <n v="0"/>
    <m/>
    <n v="0"/>
    <n v="1"/>
    <n v="328"/>
    <n v="1"/>
    <x v="3"/>
    <n v="1"/>
    <n v="3"/>
    <n v="86"/>
    <n v="2"/>
    <n v="1"/>
    <n v="3"/>
    <n v="3690"/>
    <n v="3425"/>
    <n v="2"/>
    <n v="15"/>
    <n v="3"/>
    <n v="4"/>
    <n v="80"/>
    <n v="1"/>
    <n v="5"/>
    <n v="2"/>
    <n v="3"/>
    <n v="2"/>
    <n v="0"/>
    <n v="2"/>
  </r>
  <r>
    <x v="1"/>
    <s v="Travel_Rarely"/>
    <x v="1"/>
    <s v="Current Employees"/>
    <x v="1"/>
    <x v="2"/>
    <s v="STAFF-250"/>
    <n v="250"/>
    <x v="0"/>
    <x v="3"/>
    <x v="2"/>
    <s v="No"/>
    <s v="Y"/>
    <n v="3"/>
    <n v="-2"/>
    <n v="0"/>
    <n v="53"/>
    <n v="0"/>
    <m/>
    <n v="0"/>
    <n v="1"/>
    <n v="1084"/>
    <n v="13"/>
    <x v="0"/>
    <n v="1"/>
    <n v="4"/>
    <n v="57"/>
    <n v="4"/>
    <n v="2"/>
    <n v="3"/>
    <n v="4450"/>
    <n v="26250"/>
    <n v="1"/>
    <n v="11"/>
    <n v="3"/>
    <n v="3"/>
    <n v="80"/>
    <n v="2"/>
    <n v="5"/>
    <n v="3"/>
    <n v="4"/>
    <n v="2"/>
    <n v="1"/>
    <n v="3"/>
  </r>
  <r>
    <x v="1"/>
    <s v="Travel_Rarely"/>
    <x v="2"/>
    <s v="Current Employees"/>
    <x v="1"/>
    <x v="2"/>
    <s v="STAFF-252"/>
    <n v="252"/>
    <x v="0"/>
    <x v="1"/>
    <x v="1"/>
    <s v="No"/>
    <s v="Y"/>
    <n v="5"/>
    <n v="-2"/>
    <n v="0"/>
    <n v="33"/>
    <n v="0"/>
    <m/>
    <n v="0"/>
    <n v="1"/>
    <n v="931"/>
    <n v="14"/>
    <x v="3"/>
    <n v="1"/>
    <n v="4"/>
    <n v="72"/>
    <n v="3"/>
    <n v="1"/>
    <n v="3"/>
    <n v="2756"/>
    <n v="4673"/>
    <n v="1"/>
    <n v="13"/>
    <n v="3"/>
    <n v="4"/>
    <n v="80"/>
    <n v="1"/>
    <n v="8"/>
    <n v="3"/>
    <n v="8"/>
    <n v="7"/>
    <n v="1"/>
    <n v="6"/>
  </r>
  <r>
    <x v="1"/>
    <s v="Travel_Rarely"/>
    <x v="0"/>
    <s v="Current Employees"/>
    <x v="1"/>
    <x v="2"/>
    <s v="STAFF-253"/>
    <n v="253"/>
    <x v="0"/>
    <x v="5"/>
    <x v="1"/>
    <s v="No"/>
    <s v="Y"/>
    <n v="2"/>
    <n v="-2"/>
    <n v="0"/>
    <n v="40"/>
    <n v="0"/>
    <m/>
    <n v="0"/>
    <n v="1"/>
    <n v="989"/>
    <n v="4"/>
    <x v="1"/>
    <n v="1"/>
    <n v="4"/>
    <n v="46"/>
    <n v="3"/>
    <n v="5"/>
    <n v="3"/>
    <n v="19033"/>
    <n v="6499"/>
    <n v="1"/>
    <n v="14"/>
    <n v="3"/>
    <n v="2"/>
    <n v="80"/>
    <n v="1"/>
    <n v="21"/>
    <n v="3"/>
    <n v="20"/>
    <n v="8"/>
    <n v="9"/>
    <n v="9"/>
  </r>
  <r>
    <x v="1"/>
    <s v="Travel_Rarely"/>
    <x v="3"/>
    <s v="Current Employees"/>
    <x v="1"/>
    <x v="2"/>
    <s v="STAFF-254"/>
    <n v="254"/>
    <x v="1"/>
    <x v="7"/>
    <x v="0"/>
    <s v="No"/>
    <s v="Y"/>
    <n v="3"/>
    <n v="-2"/>
    <n v="0"/>
    <n v="55"/>
    <n v="0"/>
    <m/>
    <n v="0"/>
    <n v="1"/>
    <n v="692"/>
    <n v="14"/>
    <x v="2"/>
    <n v="1"/>
    <n v="3"/>
    <n v="61"/>
    <n v="4"/>
    <n v="5"/>
    <n v="3"/>
    <n v="18722"/>
    <n v="13339"/>
    <n v="8"/>
    <n v="11"/>
    <n v="3"/>
    <n v="4"/>
    <n v="80"/>
    <n v="0"/>
    <n v="36"/>
    <n v="3"/>
    <n v="24"/>
    <n v="15"/>
    <n v="2"/>
    <n v="15"/>
  </r>
  <r>
    <x v="1"/>
    <s v="Travel_Frequently"/>
    <x v="2"/>
    <s v="Current Employees"/>
    <x v="1"/>
    <x v="0"/>
    <s v="STAFF-256"/>
    <n v="256"/>
    <x v="1"/>
    <x v="3"/>
    <x v="1"/>
    <s v="No"/>
    <s v="Y"/>
    <n v="2"/>
    <n v="-2"/>
    <n v="0"/>
    <n v="34"/>
    <n v="0"/>
    <m/>
    <n v="0"/>
    <n v="1"/>
    <n v="1069"/>
    <n v="2"/>
    <x v="1"/>
    <n v="1"/>
    <n v="4"/>
    <n v="45"/>
    <n v="2"/>
    <n v="2"/>
    <n v="2"/>
    <n v="9547"/>
    <n v="14074"/>
    <n v="1"/>
    <n v="17"/>
    <n v="3"/>
    <n v="3"/>
    <n v="80"/>
    <n v="0"/>
    <n v="10"/>
    <n v="2"/>
    <n v="10"/>
    <n v="9"/>
    <n v="1"/>
    <n v="9"/>
  </r>
  <r>
    <x v="1"/>
    <s v="Travel_Rarely"/>
    <x v="1"/>
    <s v="Current Employees"/>
    <x v="1"/>
    <x v="2"/>
    <s v="STAFF-258"/>
    <n v="258"/>
    <x v="0"/>
    <x v="4"/>
    <x v="0"/>
    <s v="No"/>
    <s v="Y"/>
    <n v="6"/>
    <n v="-2"/>
    <n v="0"/>
    <n v="51"/>
    <n v="0"/>
    <m/>
    <n v="0"/>
    <n v="1"/>
    <n v="313"/>
    <n v="3"/>
    <x v="3"/>
    <n v="1"/>
    <n v="4"/>
    <n v="98"/>
    <n v="3"/>
    <n v="4"/>
    <n v="3"/>
    <n v="13734"/>
    <n v="7192"/>
    <n v="3"/>
    <n v="18"/>
    <n v="3"/>
    <n v="3"/>
    <n v="80"/>
    <n v="0"/>
    <n v="21"/>
    <n v="3"/>
    <n v="7"/>
    <n v="7"/>
    <n v="1"/>
    <n v="0"/>
  </r>
  <r>
    <x v="1"/>
    <s v="Travel_Rarely"/>
    <x v="1"/>
    <s v="Current Employees"/>
    <x v="1"/>
    <x v="0"/>
    <s v="STAFF-259"/>
    <n v="259"/>
    <x v="1"/>
    <x v="5"/>
    <x v="1"/>
    <s v="No"/>
    <s v="Y"/>
    <n v="5"/>
    <n v="-2"/>
    <n v="0"/>
    <n v="52"/>
    <n v="0"/>
    <m/>
    <n v="0"/>
    <n v="1"/>
    <n v="699"/>
    <n v="1"/>
    <x v="2"/>
    <n v="1"/>
    <n v="3"/>
    <n v="65"/>
    <n v="2"/>
    <n v="5"/>
    <n v="2"/>
    <n v="19999"/>
    <n v="5678"/>
    <n v="0"/>
    <n v="14"/>
    <n v="3"/>
    <n v="1"/>
    <n v="80"/>
    <n v="1"/>
    <n v="34"/>
    <n v="3"/>
    <n v="33"/>
    <n v="18"/>
    <n v="11"/>
    <n v="9"/>
  </r>
  <r>
    <x v="1"/>
    <s v="Travel_Rarely"/>
    <x v="2"/>
    <s v="Current Employees"/>
    <x v="1"/>
    <x v="2"/>
    <s v="STAFF-260"/>
    <n v="260"/>
    <x v="0"/>
    <x v="1"/>
    <x v="0"/>
    <s v="No"/>
    <s v="Y"/>
    <n v="2"/>
    <n v="-2"/>
    <n v="0"/>
    <n v="27"/>
    <n v="0"/>
    <m/>
    <n v="0"/>
    <n v="1"/>
    <n v="894"/>
    <n v="9"/>
    <x v="3"/>
    <n v="1"/>
    <n v="4"/>
    <n v="99"/>
    <n v="3"/>
    <n v="1"/>
    <n v="3"/>
    <n v="2279"/>
    <n v="11781"/>
    <n v="1"/>
    <n v="16"/>
    <n v="3"/>
    <n v="4"/>
    <n v="80"/>
    <n v="0"/>
    <n v="7"/>
    <n v="2"/>
    <n v="7"/>
    <n v="7"/>
    <n v="0"/>
    <n v="3"/>
  </r>
  <r>
    <x v="0"/>
    <s v="Travel_Rarely"/>
    <x v="0"/>
    <s v="Ex-Employees"/>
    <x v="1"/>
    <x v="0"/>
    <s v="STAFF-261"/>
    <n v="261"/>
    <x v="1"/>
    <x v="3"/>
    <x v="1"/>
    <s v="Yes"/>
    <s v="Y"/>
    <n v="1"/>
    <n v="-2"/>
    <n v="0"/>
    <n v="35"/>
    <n v="1"/>
    <n v="1"/>
    <n v="1"/>
    <n v="0"/>
    <n v="556"/>
    <n v="23"/>
    <x v="0"/>
    <n v="1"/>
    <n v="2"/>
    <n v="50"/>
    <n v="2"/>
    <n v="2"/>
    <n v="2"/>
    <n v="5916"/>
    <n v="15497"/>
    <n v="3"/>
    <n v="13"/>
    <n v="3"/>
    <n v="1"/>
    <n v="80"/>
    <n v="0"/>
    <n v="8"/>
    <n v="3"/>
    <n v="1"/>
    <n v="0"/>
    <n v="0"/>
    <n v="1"/>
  </r>
  <r>
    <x v="1"/>
    <s v="Non-Travel"/>
    <x v="0"/>
    <s v="Current Employees"/>
    <x v="1"/>
    <x v="2"/>
    <s v="STAFF-262"/>
    <n v="262"/>
    <x v="1"/>
    <x v="1"/>
    <x v="2"/>
    <s v="No"/>
    <s v="Y"/>
    <n v="3"/>
    <n v="-2"/>
    <n v="0"/>
    <n v="43"/>
    <n v="0"/>
    <m/>
    <n v="0"/>
    <n v="1"/>
    <n v="1344"/>
    <n v="7"/>
    <x v="3"/>
    <n v="1"/>
    <n v="4"/>
    <n v="37"/>
    <n v="4"/>
    <n v="1"/>
    <n v="4"/>
    <n v="2089"/>
    <n v="5228"/>
    <n v="4"/>
    <n v="14"/>
    <n v="3"/>
    <n v="4"/>
    <n v="80"/>
    <n v="3"/>
    <n v="7"/>
    <n v="4"/>
    <n v="5"/>
    <n v="4"/>
    <n v="2"/>
    <n v="2"/>
  </r>
  <r>
    <x v="1"/>
    <s v="Non-Travel"/>
    <x v="1"/>
    <s v="Current Employees"/>
    <x v="1"/>
    <x v="2"/>
    <s v="STAFF-264"/>
    <n v="264"/>
    <x v="1"/>
    <x v="5"/>
    <x v="1"/>
    <s v="No"/>
    <s v="Y"/>
    <n v="1"/>
    <n v="-2"/>
    <n v="0"/>
    <n v="45"/>
    <n v="0"/>
    <m/>
    <n v="0"/>
    <n v="1"/>
    <n v="1195"/>
    <n v="2"/>
    <x v="0"/>
    <n v="1"/>
    <n v="1"/>
    <n v="65"/>
    <n v="2"/>
    <n v="4"/>
    <n v="4"/>
    <n v="16792"/>
    <n v="20462"/>
    <n v="9"/>
    <n v="23"/>
    <n v="4"/>
    <n v="4"/>
    <n v="80"/>
    <n v="1"/>
    <n v="22"/>
    <n v="3"/>
    <n v="20"/>
    <n v="8"/>
    <n v="11"/>
    <n v="8"/>
  </r>
  <r>
    <x v="1"/>
    <s v="Travel_Rarely"/>
    <x v="0"/>
    <s v="Current Employees"/>
    <x v="1"/>
    <x v="0"/>
    <s v="STAFF-267"/>
    <n v="267"/>
    <x v="1"/>
    <x v="1"/>
    <x v="1"/>
    <s v="Yes"/>
    <s v="Y"/>
    <n v="3"/>
    <n v="-2"/>
    <n v="0"/>
    <n v="37"/>
    <n v="0"/>
    <m/>
    <n v="0"/>
    <n v="1"/>
    <n v="290"/>
    <n v="21"/>
    <x v="3"/>
    <n v="1"/>
    <n v="2"/>
    <n v="65"/>
    <n v="4"/>
    <n v="1"/>
    <n v="2"/>
    <n v="3564"/>
    <n v="22977"/>
    <n v="1"/>
    <n v="12"/>
    <n v="3"/>
    <n v="1"/>
    <n v="80"/>
    <n v="1"/>
    <n v="8"/>
    <n v="2"/>
    <n v="8"/>
    <n v="7"/>
    <n v="1"/>
    <n v="7"/>
  </r>
  <r>
    <x v="1"/>
    <s v="Travel_Frequently"/>
    <x v="0"/>
    <s v="Current Employees"/>
    <x v="1"/>
    <x v="2"/>
    <s v="STAFF-269"/>
    <n v="269"/>
    <x v="0"/>
    <x v="2"/>
    <x v="0"/>
    <s v="No"/>
    <s v="Y"/>
    <n v="5"/>
    <n v="-2"/>
    <n v="0"/>
    <n v="35"/>
    <n v="0"/>
    <m/>
    <n v="0"/>
    <n v="1"/>
    <n v="138"/>
    <n v="2"/>
    <x v="3"/>
    <n v="1"/>
    <n v="2"/>
    <n v="37"/>
    <n v="3"/>
    <n v="2"/>
    <n v="3"/>
    <n v="4425"/>
    <n v="15986"/>
    <n v="5"/>
    <n v="11"/>
    <n v="3"/>
    <n v="4"/>
    <n v="80"/>
    <n v="0"/>
    <n v="10"/>
    <n v="3"/>
    <n v="6"/>
    <n v="2"/>
    <n v="1"/>
    <n v="2"/>
  </r>
  <r>
    <x v="1"/>
    <s v="Non-Travel"/>
    <x v="0"/>
    <s v="Current Employees"/>
    <x v="1"/>
    <x v="2"/>
    <s v="STAFF-270"/>
    <n v="270"/>
    <x v="0"/>
    <x v="3"/>
    <x v="2"/>
    <s v="No"/>
    <s v="Y"/>
    <n v="5"/>
    <n v="-2"/>
    <n v="0"/>
    <n v="42"/>
    <n v="0"/>
    <m/>
    <n v="0"/>
    <n v="1"/>
    <n v="926"/>
    <n v="21"/>
    <x v="0"/>
    <n v="1"/>
    <n v="3"/>
    <n v="36"/>
    <n v="3"/>
    <n v="2"/>
    <n v="3"/>
    <n v="5265"/>
    <n v="16439"/>
    <n v="2"/>
    <n v="16"/>
    <n v="3"/>
    <n v="2"/>
    <n v="80"/>
    <n v="1"/>
    <n v="11"/>
    <n v="3"/>
    <n v="5"/>
    <n v="3"/>
    <n v="0"/>
    <n v="2"/>
  </r>
  <r>
    <x v="1"/>
    <s v="Travel_Rarely"/>
    <x v="0"/>
    <s v="Current Employees"/>
    <x v="1"/>
    <x v="0"/>
    <s v="STAFF-271"/>
    <n v="271"/>
    <x v="1"/>
    <x v="3"/>
    <x v="1"/>
    <s v="No"/>
    <s v="Y"/>
    <n v="3"/>
    <n v="-2"/>
    <n v="0"/>
    <n v="38"/>
    <n v="0"/>
    <m/>
    <n v="0"/>
    <n v="1"/>
    <n v="1261"/>
    <n v="2"/>
    <x v="2"/>
    <n v="1"/>
    <n v="4"/>
    <n v="88"/>
    <n v="3"/>
    <n v="2"/>
    <n v="2"/>
    <n v="6553"/>
    <n v="7259"/>
    <n v="9"/>
    <n v="14"/>
    <n v="3"/>
    <n v="2"/>
    <n v="80"/>
    <n v="0"/>
    <n v="14"/>
    <n v="3"/>
    <n v="1"/>
    <n v="0"/>
    <n v="0"/>
    <n v="0"/>
  </r>
  <r>
    <x v="1"/>
    <s v="Travel_Rarely"/>
    <x v="0"/>
    <s v="Current Employees"/>
    <x v="1"/>
    <x v="4"/>
    <s v="STAFF-273"/>
    <n v="273"/>
    <x v="1"/>
    <x v="3"/>
    <x v="1"/>
    <s v="No"/>
    <s v="Y"/>
    <n v="3"/>
    <n v="-2"/>
    <n v="0"/>
    <n v="38"/>
    <n v="0"/>
    <m/>
    <n v="0"/>
    <n v="1"/>
    <n v="1084"/>
    <n v="29"/>
    <x v="3"/>
    <n v="1"/>
    <n v="4"/>
    <n v="54"/>
    <n v="3"/>
    <n v="2"/>
    <n v="4"/>
    <n v="6261"/>
    <n v="4185"/>
    <n v="3"/>
    <n v="18"/>
    <n v="3"/>
    <n v="1"/>
    <n v="80"/>
    <n v="1"/>
    <n v="9"/>
    <n v="1"/>
    <n v="7"/>
    <n v="7"/>
    <n v="1"/>
    <n v="7"/>
  </r>
  <r>
    <x v="1"/>
    <s v="Travel_Frequently"/>
    <x v="2"/>
    <s v="Current Employees"/>
    <x v="1"/>
    <x v="4"/>
    <s v="STAFF-274"/>
    <n v="274"/>
    <x v="1"/>
    <x v="3"/>
    <x v="1"/>
    <s v="No"/>
    <s v="Y"/>
    <n v="1"/>
    <n v="-2"/>
    <n v="0"/>
    <n v="27"/>
    <n v="0"/>
    <m/>
    <n v="0"/>
    <n v="1"/>
    <n v="472"/>
    <n v="1"/>
    <x v="1"/>
    <n v="1"/>
    <n v="3"/>
    <n v="60"/>
    <n v="2"/>
    <n v="2"/>
    <n v="4"/>
    <n v="4298"/>
    <n v="9679"/>
    <n v="5"/>
    <n v="19"/>
    <n v="3"/>
    <n v="3"/>
    <n v="80"/>
    <n v="1"/>
    <n v="6"/>
    <n v="3"/>
    <n v="2"/>
    <n v="2"/>
    <n v="2"/>
    <n v="0"/>
  </r>
  <r>
    <x v="1"/>
    <s v="Non-Travel"/>
    <x v="1"/>
    <s v="Current Employees"/>
    <x v="1"/>
    <x v="0"/>
    <s v="STAFF-275"/>
    <n v="275"/>
    <x v="1"/>
    <x v="3"/>
    <x v="2"/>
    <s v="Yes"/>
    <s v="Y"/>
    <n v="0"/>
    <n v="-2"/>
    <n v="0"/>
    <n v="49"/>
    <n v="0"/>
    <m/>
    <n v="0"/>
    <n v="1"/>
    <n v="1002"/>
    <n v="18"/>
    <x v="2"/>
    <n v="1"/>
    <n v="4"/>
    <n v="92"/>
    <n v="3"/>
    <n v="2"/>
    <n v="2"/>
    <n v="6804"/>
    <n v="23793"/>
    <n v="1"/>
    <n v="15"/>
    <n v="3"/>
    <n v="1"/>
    <n v="80"/>
    <n v="2"/>
    <n v="7"/>
    <n v="3"/>
    <n v="7"/>
    <n v="7"/>
    <n v="1"/>
    <n v="7"/>
  </r>
  <r>
    <x v="1"/>
    <s v="Travel_Frequently"/>
    <x v="2"/>
    <s v="Current Employees"/>
    <x v="1"/>
    <x v="2"/>
    <s v="STAFF-277"/>
    <n v="277"/>
    <x v="1"/>
    <x v="1"/>
    <x v="2"/>
    <s v="Yes"/>
    <s v="Y"/>
    <n v="4"/>
    <n v="-2"/>
    <n v="0"/>
    <n v="34"/>
    <n v="0"/>
    <m/>
    <n v="0"/>
    <n v="1"/>
    <n v="878"/>
    <n v="10"/>
    <x v="2"/>
    <n v="1"/>
    <n v="4"/>
    <n v="43"/>
    <n v="3"/>
    <n v="1"/>
    <n v="3"/>
    <n v="3815"/>
    <n v="5972"/>
    <n v="1"/>
    <n v="17"/>
    <n v="3"/>
    <n v="4"/>
    <n v="80"/>
    <n v="1"/>
    <n v="5"/>
    <n v="4"/>
    <n v="5"/>
    <n v="3"/>
    <n v="2"/>
    <n v="0"/>
  </r>
  <r>
    <x v="1"/>
    <s v="Travel_Rarely"/>
    <x v="0"/>
    <s v="Current Employees"/>
    <x v="1"/>
    <x v="2"/>
    <s v="STAFF-281"/>
    <n v="281"/>
    <x v="1"/>
    <x v="2"/>
    <x v="1"/>
    <s v="Yes"/>
    <s v="Y"/>
    <n v="2"/>
    <n v="-2"/>
    <n v="0"/>
    <n v="40"/>
    <n v="0"/>
    <m/>
    <n v="0"/>
    <n v="1"/>
    <n v="905"/>
    <n v="19"/>
    <x v="0"/>
    <n v="1"/>
    <n v="3"/>
    <n v="99"/>
    <n v="3"/>
    <n v="2"/>
    <n v="4"/>
    <n v="2741"/>
    <n v="16523"/>
    <n v="8"/>
    <n v="15"/>
    <n v="3"/>
    <n v="3"/>
    <n v="80"/>
    <n v="1"/>
    <n v="15"/>
    <n v="4"/>
    <n v="7"/>
    <n v="2"/>
    <n v="3"/>
    <n v="7"/>
  </r>
  <r>
    <x v="0"/>
    <s v="Travel_Rarely"/>
    <x v="0"/>
    <s v="Ex-Employees"/>
    <x v="1"/>
    <x v="2"/>
    <s v="STAFF-282"/>
    <n v="282"/>
    <x v="1"/>
    <x v="4"/>
    <x v="1"/>
    <s v="Yes"/>
    <s v="Y"/>
    <n v="2"/>
    <n v="-2"/>
    <n v="0"/>
    <n v="38"/>
    <n v="1"/>
    <n v="1"/>
    <n v="1"/>
    <n v="0"/>
    <n v="1180"/>
    <n v="29"/>
    <x v="1"/>
    <n v="1"/>
    <n v="2"/>
    <n v="70"/>
    <n v="3"/>
    <n v="2"/>
    <n v="3"/>
    <n v="6673"/>
    <n v="11354"/>
    <n v="7"/>
    <n v="19"/>
    <n v="3"/>
    <n v="2"/>
    <n v="80"/>
    <n v="0"/>
    <n v="17"/>
    <n v="3"/>
    <n v="1"/>
    <n v="0"/>
    <n v="0"/>
    <n v="0"/>
  </r>
  <r>
    <x v="0"/>
    <s v="Travel_Rarely"/>
    <x v="2"/>
    <s v="Ex-Employees"/>
    <x v="0"/>
    <x v="3"/>
    <s v="STAFF-283"/>
    <n v="283"/>
    <x v="0"/>
    <x v="0"/>
    <x v="1"/>
    <s v="No"/>
    <s v="Y"/>
    <n v="3"/>
    <n v="-2"/>
    <n v="0"/>
    <n v="29"/>
    <n v="1"/>
    <n v="1"/>
    <n v="1"/>
    <n v="0"/>
    <n v="121"/>
    <n v="27"/>
    <x v="3"/>
    <n v="1"/>
    <n v="2"/>
    <n v="35"/>
    <n v="3"/>
    <n v="3"/>
    <n v="4"/>
    <n v="7639"/>
    <n v="24525"/>
    <n v="1"/>
    <n v="22"/>
    <n v="4"/>
    <n v="4"/>
    <n v="80"/>
    <n v="3"/>
    <n v="10"/>
    <n v="2"/>
    <n v="10"/>
    <n v="4"/>
    <n v="1"/>
    <n v="9"/>
  </r>
  <r>
    <x v="1"/>
    <s v="Travel_Rarely"/>
    <x v="4"/>
    <s v="Current Employees"/>
    <x v="1"/>
    <x v="0"/>
    <s v="STAFF-284"/>
    <n v="284"/>
    <x v="1"/>
    <x v="1"/>
    <x v="2"/>
    <s v="Yes"/>
    <s v="Y"/>
    <n v="2"/>
    <n v="-2"/>
    <n v="0"/>
    <n v="22"/>
    <n v="0"/>
    <m/>
    <n v="0"/>
    <n v="1"/>
    <n v="1136"/>
    <n v="5"/>
    <x v="3"/>
    <n v="1"/>
    <n v="4"/>
    <n v="60"/>
    <n v="4"/>
    <n v="1"/>
    <n v="2"/>
    <n v="2328"/>
    <n v="12392"/>
    <n v="1"/>
    <n v="16"/>
    <n v="3"/>
    <n v="1"/>
    <n v="80"/>
    <n v="1"/>
    <n v="4"/>
    <n v="2"/>
    <n v="4"/>
    <n v="2"/>
    <n v="2"/>
    <n v="2"/>
  </r>
  <r>
    <x v="1"/>
    <s v="Travel_Frequently"/>
    <x v="0"/>
    <s v="Current Employees"/>
    <x v="1"/>
    <x v="2"/>
    <s v="STAFF-286"/>
    <n v="286"/>
    <x v="0"/>
    <x v="2"/>
    <x v="0"/>
    <s v="No"/>
    <s v="Y"/>
    <n v="2"/>
    <n v="-2"/>
    <n v="0"/>
    <n v="36"/>
    <n v="0"/>
    <m/>
    <n v="0"/>
    <n v="1"/>
    <n v="635"/>
    <n v="18"/>
    <x v="1"/>
    <n v="1"/>
    <n v="2"/>
    <n v="73"/>
    <n v="3"/>
    <n v="1"/>
    <n v="4"/>
    <n v="2153"/>
    <n v="7703"/>
    <n v="1"/>
    <n v="13"/>
    <n v="3"/>
    <n v="1"/>
    <n v="80"/>
    <n v="0"/>
    <n v="8"/>
    <n v="3"/>
    <n v="8"/>
    <n v="1"/>
    <n v="1"/>
    <n v="7"/>
  </r>
  <r>
    <x v="1"/>
    <s v="Non-Travel"/>
    <x v="0"/>
    <s v="Current Employees"/>
    <x v="1"/>
    <x v="0"/>
    <s v="STAFF-287"/>
    <n v="287"/>
    <x v="1"/>
    <x v="4"/>
    <x v="1"/>
    <s v="No"/>
    <s v="Y"/>
    <n v="5"/>
    <n v="-2"/>
    <n v="0"/>
    <n v="40"/>
    <n v="0"/>
    <m/>
    <n v="0"/>
    <n v="1"/>
    <n v="1151"/>
    <n v="9"/>
    <x v="4"/>
    <n v="1"/>
    <n v="4"/>
    <n v="63"/>
    <n v="2"/>
    <n v="2"/>
    <n v="2"/>
    <n v="4876"/>
    <n v="14242"/>
    <n v="9"/>
    <n v="14"/>
    <n v="3"/>
    <n v="4"/>
    <n v="80"/>
    <n v="1"/>
    <n v="5"/>
    <n v="1"/>
    <n v="3"/>
    <n v="2"/>
    <n v="0"/>
    <n v="2"/>
  </r>
  <r>
    <x v="1"/>
    <s v="Travel_Rarely"/>
    <x v="1"/>
    <s v="Current Employees"/>
    <x v="1"/>
    <x v="2"/>
    <s v="STAFF-288"/>
    <n v="288"/>
    <x v="1"/>
    <x v="4"/>
    <x v="2"/>
    <s v="No"/>
    <s v="Y"/>
    <n v="3"/>
    <n v="-2"/>
    <n v="0"/>
    <n v="46"/>
    <n v="0"/>
    <m/>
    <n v="0"/>
    <n v="1"/>
    <n v="644"/>
    <n v="1"/>
    <x v="2"/>
    <n v="1"/>
    <n v="4"/>
    <n v="97"/>
    <n v="3"/>
    <n v="3"/>
    <n v="3"/>
    <n v="9396"/>
    <n v="12368"/>
    <n v="7"/>
    <n v="16"/>
    <n v="3"/>
    <n v="3"/>
    <n v="80"/>
    <n v="1"/>
    <n v="17"/>
    <n v="3"/>
    <n v="4"/>
    <n v="2"/>
    <n v="0"/>
    <n v="3"/>
  </r>
  <r>
    <x v="0"/>
    <s v="Travel_Rarely"/>
    <x v="2"/>
    <s v="Ex-Employees"/>
    <x v="0"/>
    <x v="2"/>
    <s v="STAFF-291"/>
    <n v="291"/>
    <x v="1"/>
    <x v="0"/>
    <x v="1"/>
    <s v="No"/>
    <s v="Y"/>
    <n v="2"/>
    <n v="-2"/>
    <n v="0"/>
    <n v="32"/>
    <n v="1"/>
    <n v="1"/>
    <n v="1"/>
    <n v="0"/>
    <n v="1045"/>
    <n v="4"/>
    <x v="2"/>
    <n v="1"/>
    <n v="4"/>
    <n v="32"/>
    <n v="1"/>
    <n v="3"/>
    <n v="4"/>
    <n v="10400"/>
    <n v="25812"/>
    <n v="1"/>
    <n v="11"/>
    <n v="3"/>
    <n v="3"/>
    <n v="80"/>
    <n v="0"/>
    <n v="14"/>
    <n v="2"/>
    <n v="14"/>
    <n v="8"/>
    <n v="9"/>
    <n v="8"/>
  </r>
  <r>
    <x v="1"/>
    <s v="Non-Travel"/>
    <x v="2"/>
    <s v="Current Employees"/>
    <x v="1"/>
    <x v="0"/>
    <s v="STAFF-292"/>
    <n v="292"/>
    <x v="1"/>
    <x v="3"/>
    <x v="0"/>
    <s v="No"/>
    <s v="Y"/>
    <n v="2"/>
    <n v="-2"/>
    <n v="0"/>
    <n v="30"/>
    <n v="0"/>
    <m/>
    <n v="0"/>
    <n v="1"/>
    <n v="829"/>
    <n v="1"/>
    <x v="1"/>
    <n v="1"/>
    <n v="3"/>
    <n v="88"/>
    <n v="2"/>
    <n v="3"/>
    <n v="2"/>
    <n v="8474"/>
    <n v="20925"/>
    <n v="1"/>
    <n v="22"/>
    <n v="4"/>
    <n v="3"/>
    <n v="80"/>
    <n v="0"/>
    <n v="12"/>
    <n v="3"/>
    <n v="11"/>
    <n v="8"/>
    <n v="5"/>
    <n v="8"/>
  </r>
  <r>
    <x v="1"/>
    <s v="Travel_Frequently"/>
    <x v="2"/>
    <s v="Current Employees"/>
    <x v="0"/>
    <x v="0"/>
    <s v="STAFF-293"/>
    <n v="293"/>
    <x v="0"/>
    <x v="0"/>
    <x v="0"/>
    <s v="No"/>
    <s v="Y"/>
    <n v="2"/>
    <n v="-2"/>
    <n v="0"/>
    <n v="27"/>
    <n v="0"/>
    <m/>
    <n v="0"/>
    <n v="1"/>
    <n v="1242"/>
    <n v="20"/>
    <x v="3"/>
    <n v="1"/>
    <n v="4"/>
    <n v="90"/>
    <n v="3"/>
    <n v="2"/>
    <n v="2"/>
    <n v="9981"/>
    <n v="12916"/>
    <n v="1"/>
    <n v="14"/>
    <n v="3"/>
    <n v="4"/>
    <n v="80"/>
    <n v="0"/>
    <n v="7"/>
    <n v="3"/>
    <n v="7"/>
    <n v="7"/>
    <n v="0"/>
    <n v="7"/>
  </r>
  <r>
    <x v="1"/>
    <s v="Travel_Rarely"/>
    <x v="1"/>
    <s v="Current Employees"/>
    <x v="1"/>
    <x v="0"/>
    <s v="STAFF-296"/>
    <n v="296"/>
    <x v="1"/>
    <x v="7"/>
    <x v="1"/>
    <s v="No"/>
    <s v="Y"/>
    <n v="5"/>
    <n v="-2"/>
    <n v="0"/>
    <n v="51"/>
    <n v="0"/>
    <m/>
    <n v="0"/>
    <n v="1"/>
    <n v="1469"/>
    <n v="8"/>
    <x v="2"/>
    <n v="1"/>
    <n v="2"/>
    <n v="81"/>
    <n v="2"/>
    <n v="3"/>
    <n v="2"/>
    <n v="12490"/>
    <n v="15736"/>
    <n v="5"/>
    <n v="16"/>
    <n v="3"/>
    <n v="4"/>
    <n v="80"/>
    <n v="2"/>
    <n v="16"/>
    <n v="1"/>
    <n v="10"/>
    <n v="9"/>
    <n v="4"/>
    <n v="7"/>
  </r>
  <r>
    <x v="0"/>
    <s v="Travel_Rarely"/>
    <x v="2"/>
    <s v="Ex-Employees"/>
    <x v="1"/>
    <x v="4"/>
    <s v="STAFF-297"/>
    <n v="297"/>
    <x v="0"/>
    <x v="1"/>
    <x v="0"/>
    <s v="Yes"/>
    <s v="Y"/>
    <n v="5"/>
    <n v="-2"/>
    <n v="0"/>
    <n v="30"/>
    <n v="1"/>
    <n v="1"/>
    <n v="1"/>
    <n v="0"/>
    <n v="1005"/>
    <n v="3"/>
    <x v="3"/>
    <n v="1"/>
    <n v="4"/>
    <n v="88"/>
    <n v="3"/>
    <n v="1"/>
    <n v="4"/>
    <n v="2657"/>
    <n v="8556"/>
    <n v="5"/>
    <n v="11"/>
    <n v="3"/>
    <n v="3"/>
    <n v="80"/>
    <n v="0"/>
    <n v="8"/>
    <n v="3"/>
    <n v="5"/>
    <n v="2"/>
    <n v="0"/>
    <n v="4"/>
  </r>
  <r>
    <x v="1"/>
    <s v="Travel_Rarely"/>
    <x v="0"/>
    <s v="Current Employees"/>
    <x v="0"/>
    <x v="0"/>
    <s v="STAFF-298"/>
    <n v="298"/>
    <x v="0"/>
    <x v="5"/>
    <x v="0"/>
    <s v="Yes"/>
    <s v="Y"/>
    <n v="3"/>
    <n v="-2"/>
    <n v="0"/>
    <n v="41"/>
    <n v="0"/>
    <m/>
    <n v="0"/>
    <n v="1"/>
    <n v="896"/>
    <n v="6"/>
    <x v="3"/>
    <n v="1"/>
    <n v="4"/>
    <n v="75"/>
    <n v="3"/>
    <n v="3"/>
    <n v="2"/>
    <n v="13591"/>
    <n v="14674"/>
    <n v="3"/>
    <n v="18"/>
    <n v="3"/>
    <n v="3"/>
    <n v="80"/>
    <n v="0"/>
    <n v="16"/>
    <n v="3"/>
    <n v="1"/>
    <n v="0"/>
    <n v="0"/>
    <n v="0"/>
  </r>
  <r>
    <x v="0"/>
    <s v="Travel_Frequently"/>
    <x v="2"/>
    <s v="Ex-Employees"/>
    <x v="0"/>
    <x v="3"/>
    <s v="STAFF-299"/>
    <n v="299"/>
    <x v="0"/>
    <x v="0"/>
    <x v="0"/>
    <s v="No"/>
    <s v="Y"/>
    <n v="5"/>
    <n v="-2"/>
    <n v="0"/>
    <n v="30"/>
    <n v="1"/>
    <n v="1"/>
    <n v="1"/>
    <n v="0"/>
    <n v="334"/>
    <n v="26"/>
    <x v="2"/>
    <n v="1"/>
    <n v="3"/>
    <n v="52"/>
    <n v="2"/>
    <n v="2"/>
    <n v="3"/>
    <n v="6696"/>
    <n v="22967"/>
    <n v="5"/>
    <n v="15"/>
    <n v="3"/>
    <n v="3"/>
    <n v="80"/>
    <n v="0"/>
    <n v="9"/>
    <n v="2"/>
    <n v="6"/>
    <n v="3"/>
    <n v="0"/>
    <n v="1"/>
  </r>
  <r>
    <x v="0"/>
    <s v="Travel_Rarely"/>
    <x v="2"/>
    <s v="Ex-Employees"/>
    <x v="1"/>
    <x v="4"/>
    <s v="STAFF-300"/>
    <n v="300"/>
    <x v="1"/>
    <x v="1"/>
    <x v="0"/>
    <s v="No"/>
    <s v="Y"/>
    <n v="1"/>
    <n v="-2"/>
    <n v="0"/>
    <n v="29"/>
    <n v="1"/>
    <n v="1"/>
    <n v="1"/>
    <n v="0"/>
    <n v="992"/>
    <n v="1"/>
    <x v="3"/>
    <n v="1"/>
    <n v="3"/>
    <n v="85"/>
    <n v="3"/>
    <n v="1"/>
    <n v="4"/>
    <n v="2058"/>
    <n v="19757"/>
    <n v="0"/>
    <n v="14"/>
    <n v="3"/>
    <n v="4"/>
    <n v="80"/>
    <n v="0"/>
    <n v="7"/>
    <n v="2"/>
    <n v="6"/>
    <n v="2"/>
    <n v="1"/>
    <n v="5"/>
  </r>
  <r>
    <x v="1"/>
    <s v="Non-Travel"/>
    <x v="1"/>
    <s v="Current Employees"/>
    <x v="0"/>
    <x v="2"/>
    <s v="STAFF-302"/>
    <n v="302"/>
    <x v="0"/>
    <x v="0"/>
    <x v="0"/>
    <s v="No"/>
    <s v="Y"/>
    <n v="2"/>
    <n v="-2"/>
    <n v="0"/>
    <n v="45"/>
    <n v="0"/>
    <m/>
    <n v="0"/>
    <n v="1"/>
    <n v="1052"/>
    <n v="6"/>
    <x v="3"/>
    <n v="1"/>
    <n v="4"/>
    <n v="57"/>
    <n v="2"/>
    <n v="3"/>
    <n v="4"/>
    <n v="8865"/>
    <n v="16840"/>
    <n v="6"/>
    <n v="12"/>
    <n v="3"/>
    <n v="4"/>
    <n v="80"/>
    <n v="0"/>
    <n v="23"/>
    <n v="3"/>
    <n v="19"/>
    <n v="7"/>
    <n v="12"/>
    <n v="8"/>
  </r>
  <r>
    <x v="1"/>
    <s v="Travel_Rarely"/>
    <x v="1"/>
    <s v="Current Employees"/>
    <x v="0"/>
    <x v="3"/>
    <s v="STAFF-303"/>
    <n v="303"/>
    <x v="0"/>
    <x v="0"/>
    <x v="1"/>
    <s v="No"/>
    <s v="Y"/>
    <n v="4"/>
    <n v="-2"/>
    <n v="0"/>
    <n v="54"/>
    <n v="0"/>
    <m/>
    <n v="0"/>
    <n v="1"/>
    <n v="1147"/>
    <n v="3"/>
    <x v="3"/>
    <n v="1"/>
    <n v="4"/>
    <n v="52"/>
    <n v="3"/>
    <n v="2"/>
    <n v="1"/>
    <n v="5940"/>
    <n v="17011"/>
    <n v="2"/>
    <n v="14"/>
    <n v="3"/>
    <n v="4"/>
    <n v="80"/>
    <n v="1"/>
    <n v="16"/>
    <n v="3"/>
    <n v="6"/>
    <n v="2"/>
    <n v="0"/>
    <n v="5"/>
  </r>
  <r>
    <x v="1"/>
    <s v="Travel_Rarely"/>
    <x v="0"/>
    <s v="Current Employees"/>
    <x v="1"/>
    <x v="0"/>
    <s v="STAFF-304"/>
    <n v="304"/>
    <x v="1"/>
    <x v="2"/>
    <x v="0"/>
    <s v="No"/>
    <s v="Y"/>
    <n v="3"/>
    <n v="-2"/>
    <n v="0"/>
    <n v="36"/>
    <n v="0"/>
    <m/>
    <n v="0"/>
    <n v="1"/>
    <n v="1396"/>
    <n v="5"/>
    <x v="0"/>
    <n v="1"/>
    <n v="4"/>
    <n v="62"/>
    <n v="3"/>
    <n v="2"/>
    <n v="2"/>
    <n v="5914"/>
    <n v="9945"/>
    <n v="8"/>
    <n v="16"/>
    <n v="3"/>
    <n v="4"/>
    <n v="80"/>
    <n v="0"/>
    <n v="16"/>
    <n v="4"/>
    <n v="13"/>
    <n v="11"/>
    <n v="3"/>
    <n v="7"/>
  </r>
  <r>
    <x v="1"/>
    <s v="Travel_Rarely"/>
    <x v="2"/>
    <s v="Current Employees"/>
    <x v="1"/>
    <x v="2"/>
    <s v="STAFF-305"/>
    <n v="305"/>
    <x v="0"/>
    <x v="1"/>
    <x v="1"/>
    <s v="No"/>
    <s v="Y"/>
    <n v="3"/>
    <n v="-2"/>
    <n v="0"/>
    <n v="33"/>
    <n v="0"/>
    <m/>
    <n v="0"/>
    <n v="1"/>
    <n v="147"/>
    <n v="4"/>
    <x v="2"/>
    <n v="1"/>
    <n v="3"/>
    <n v="47"/>
    <n v="2"/>
    <n v="1"/>
    <n v="3"/>
    <n v="2622"/>
    <n v="13248"/>
    <n v="6"/>
    <n v="21"/>
    <n v="4"/>
    <n v="4"/>
    <n v="80"/>
    <n v="0"/>
    <n v="7"/>
    <n v="3"/>
    <n v="3"/>
    <n v="2"/>
    <n v="1"/>
    <n v="1"/>
  </r>
  <r>
    <x v="1"/>
    <s v="Travel_Frequently"/>
    <x v="0"/>
    <s v="Current Employees"/>
    <x v="1"/>
    <x v="1"/>
    <s v="STAFF-306"/>
    <n v="306"/>
    <x v="1"/>
    <x v="7"/>
    <x v="2"/>
    <s v="Yes"/>
    <s v="Y"/>
    <n v="1"/>
    <n v="-2"/>
    <n v="0"/>
    <n v="37"/>
    <n v="0"/>
    <m/>
    <n v="0"/>
    <n v="1"/>
    <n v="663"/>
    <n v="11"/>
    <x v="3"/>
    <n v="1"/>
    <n v="2"/>
    <n v="47"/>
    <n v="3"/>
    <n v="3"/>
    <n v="4"/>
    <n v="12185"/>
    <n v="10056"/>
    <n v="1"/>
    <n v="14"/>
    <n v="3"/>
    <n v="3"/>
    <n v="80"/>
    <n v="3"/>
    <n v="10"/>
    <n v="3"/>
    <n v="10"/>
    <n v="8"/>
    <n v="0"/>
    <n v="7"/>
  </r>
  <r>
    <x v="1"/>
    <s v="Travel_Rarely"/>
    <x v="0"/>
    <s v="Current Employees"/>
    <x v="0"/>
    <x v="0"/>
    <s v="STAFF-307"/>
    <n v="307"/>
    <x v="1"/>
    <x v="0"/>
    <x v="2"/>
    <s v="No"/>
    <s v="Y"/>
    <n v="6"/>
    <n v="-2"/>
    <n v="0"/>
    <n v="38"/>
    <n v="0"/>
    <m/>
    <n v="0"/>
    <n v="1"/>
    <n v="119"/>
    <n v="3"/>
    <x v="3"/>
    <n v="1"/>
    <n v="1"/>
    <n v="76"/>
    <n v="3"/>
    <n v="3"/>
    <n v="2"/>
    <n v="10609"/>
    <n v="9647"/>
    <n v="0"/>
    <n v="12"/>
    <n v="3"/>
    <n v="3"/>
    <n v="80"/>
    <n v="2"/>
    <n v="17"/>
    <n v="2"/>
    <n v="16"/>
    <n v="10"/>
    <n v="5"/>
    <n v="13"/>
  </r>
  <r>
    <x v="1"/>
    <s v="Non-Travel"/>
    <x v="2"/>
    <s v="Current Employees"/>
    <x v="1"/>
    <x v="2"/>
    <s v="STAFF-308"/>
    <n v="308"/>
    <x v="1"/>
    <x v="3"/>
    <x v="1"/>
    <s v="No"/>
    <s v="Y"/>
    <n v="2"/>
    <n v="-2"/>
    <n v="0"/>
    <n v="31"/>
    <n v="0"/>
    <m/>
    <n v="0"/>
    <n v="1"/>
    <n v="979"/>
    <n v="1"/>
    <x v="2"/>
    <n v="1"/>
    <n v="3"/>
    <n v="90"/>
    <n v="1"/>
    <n v="2"/>
    <n v="3"/>
    <n v="4345"/>
    <n v="4381"/>
    <n v="0"/>
    <n v="12"/>
    <n v="3"/>
    <n v="4"/>
    <n v="80"/>
    <n v="1"/>
    <n v="6"/>
    <n v="3"/>
    <n v="5"/>
    <n v="4"/>
    <n v="1"/>
    <n v="4"/>
  </r>
  <r>
    <x v="1"/>
    <s v="Travel_Rarely"/>
    <x v="3"/>
    <s v="Current Employees"/>
    <x v="1"/>
    <x v="0"/>
    <s v="STAFF-309"/>
    <n v="309"/>
    <x v="1"/>
    <x v="1"/>
    <x v="1"/>
    <s v="No"/>
    <s v="Y"/>
    <n v="6"/>
    <n v="-2"/>
    <n v="0"/>
    <n v="59"/>
    <n v="0"/>
    <m/>
    <n v="0"/>
    <n v="1"/>
    <n v="142"/>
    <n v="3"/>
    <x v="3"/>
    <n v="1"/>
    <n v="3"/>
    <n v="70"/>
    <n v="2"/>
    <n v="1"/>
    <n v="2"/>
    <n v="2177"/>
    <n v="8456"/>
    <n v="3"/>
    <n v="17"/>
    <n v="3"/>
    <n v="1"/>
    <n v="80"/>
    <n v="1"/>
    <n v="7"/>
    <n v="3"/>
    <n v="1"/>
    <n v="0"/>
    <n v="0"/>
    <n v="0"/>
  </r>
  <r>
    <x v="1"/>
    <s v="Travel_Frequently"/>
    <x v="0"/>
    <s v="Current Employees"/>
    <x v="0"/>
    <x v="3"/>
    <s v="STAFF-311"/>
    <n v="311"/>
    <x v="1"/>
    <x v="6"/>
    <x v="2"/>
    <s v="No"/>
    <s v="Y"/>
    <n v="2"/>
    <n v="-2"/>
    <n v="0"/>
    <n v="37"/>
    <n v="0"/>
    <m/>
    <n v="0"/>
    <n v="1"/>
    <n v="319"/>
    <n v="4"/>
    <x v="2"/>
    <n v="1"/>
    <n v="1"/>
    <n v="41"/>
    <n v="3"/>
    <n v="1"/>
    <n v="1"/>
    <n v="2793"/>
    <n v="2539"/>
    <n v="4"/>
    <n v="17"/>
    <n v="3"/>
    <n v="3"/>
    <n v="80"/>
    <n v="1"/>
    <n v="13"/>
    <n v="3"/>
    <n v="9"/>
    <n v="8"/>
    <n v="5"/>
    <n v="8"/>
  </r>
  <r>
    <x v="1"/>
    <s v="Travel_Frequently"/>
    <x v="2"/>
    <s v="Current Employees"/>
    <x v="0"/>
    <x v="2"/>
    <s v="STAFF-312"/>
    <n v="312"/>
    <x v="0"/>
    <x v="0"/>
    <x v="1"/>
    <s v="No"/>
    <s v="Y"/>
    <n v="5"/>
    <n v="-2"/>
    <n v="0"/>
    <n v="29"/>
    <n v="0"/>
    <m/>
    <n v="0"/>
    <n v="1"/>
    <n v="1413"/>
    <n v="1"/>
    <x v="1"/>
    <n v="1"/>
    <n v="2"/>
    <n v="42"/>
    <n v="3"/>
    <n v="3"/>
    <n v="4"/>
    <n v="7918"/>
    <n v="6599"/>
    <n v="1"/>
    <n v="14"/>
    <n v="3"/>
    <n v="4"/>
    <n v="80"/>
    <n v="1"/>
    <n v="11"/>
    <n v="3"/>
    <n v="11"/>
    <n v="10"/>
    <n v="4"/>
    <n v="1"/>
  </r>
  <r>
    <x v="1"/>
    <s v="Travel_Frequently"/>
    <x v="0"/>
    <s v="Current Employees"/>
    <x v="0"/>
    <x v="3"/>
    <s v="STAFF-314"/>
    <n v="314"/>
    <x v="0"/>
    <x v="0"/>
    <x v="0"/>
    <s v="No"/>
    <s v="Y"/>
    <n v="3"/>
    <n v="-2"/>
    <n v="0"/>
    <n v="35"/>
    <n v="0"/>
    <m/>
    <n v="0"/>
    <n v="1"/>
    <n v="944"/>
    <n v="1"/>
    <x v="3"/>
    <n v="1"/>
    <n v="3"/>
    <n v="92"/>
    <n v="3"/>
    <n v="3"/>
    <n v="1"/>
    <n v="8789"/>
    <n v="9096"/>
    <n v="1"/>
    <n v="14"/>
    <n v="3"/>
    <n v="1"/>
    <n v="80"/>
    <n v="0"/>
    <n v="10"/>
    <n v="4"/>
    <n v="10"/>
    <n v="7"/>
    <n v="0"/>
    <n v="8"/>
  </r>
  <r>
    <x v="0"/>
    <s v="Travel_Rarely"/>
    <x v="2"/>
    <s v="Ex-Employees"/>
    <x v="1"/>
    <x v="2"/>
    <s v="STAFF-315"/>
    <n v="315"/>
    <x v="1"/>
    <x v="1"/>
    <x v="0"/>
    <s v="Yes"/>
    <s v="Y"/>
    <n v="3"/>
    <n v="-2"/>
    <n v="0"/>
    <n v="29"/>
    <n v="1"/>
    <n v="1"/>
    <n v="1"/>
    <n v="0"/>
    <n v="896"/>
    <n v="18"/>
    <x v="1"/>
    <n v="1"/>
    <n v="3"/>
    <n v="86"/>
    <n v="2"/>
    <n v="1"/>
    <n v="4"/>
    <n v="2389"/>
    <n v="14961"/>
    <n v="1"/>
    <n v="13"/>
    <n v="3"/>
    <n v="3"/>
    <n v="80"/>
    <n v="0"/>
    <n v="4"/>
    <n v="2"/>
    <n v="4"/>
    <n v="3"/>
    <n v="0"/>
    <n v="1"/>
  </r>
  <r>
    <x v="1"/>
    <s v="Travel_Rarely"/>
    <x v="1"/>
    <s v="Current Employees"/>
    <x v="1"/>
    <x v="0"/>
    <s v="STAFF-316"/>
    <n v="316"/>
    <x v="0"/>
    <x v="2"/>
    <x v="0"/>
    <s v="No"/>
    <s v="Y"/>
    <n v="3"/>
    <n v="-2"/>
    <n v="0"/>
    <n v="52"/>
    <n v="0"/>
    <m/>
    <n v="0"/>
    <n v="1"/>
    <n v="1323"/>
    <n v="2"/>
    <x v="3"/>
    <n v="1"/>
    <n v="3"/>
    <n v="89"/>
    <n v="2"/>
    <n v="1"/>
    <n v="2"/>
    <n v="3212"/>
    <n v="3300"/>
    <n v="7"/>
    <n v="15"/>
    <n v="3"/>
    <n v="2"/>
    <n v="80"/>
    <n v="0"/>
    <n v="6"/>
    <n v="2"/>
    <n v="2"/>
    <n v="2"/>
    <n v="2"/>
    <n v="2"/>
  </r>
  <r>
    <x v="1"/>
    <s v="Travel_Rarely"/>
    <x v="0"/>
    <s v="Current Employees"/>
    <x v="1"/>
    <x v="4"/>
    <s v="STAFF-319"/>
    <n v="319"/>
    <x v="1"/>
    <x v="5"/>
    <x v="1"/>
    <s v="No"/>
    <s v="Y"/>
    <n v="3"/>
    <n v="-2"/>
    <n v="0"/>
    <n v="42"/>
    <n v="0"/>
    <m/>
    <n v="0"/>
    <n v="1"/>
    <n v="532"/>
    <n v="4"/>
    <x v="0"/>
    <n v="1"/>
    <n v="3"/>
    <n v="58"/>
    <n v="3"/>
    <n v="5"/>
    <n v="4"/>
    <n v="19232"/>
    <n v="4933"/>
    <n v="1"/>
    <n v="11"/>
    <n v="3"/>
    <n v="4"/>
    <n v="80"/>
    <n v="0"/>
    <n v="22"/>
    <n v="3"/>
    <n v="22"/>
    <n v="17"/>
    <n v="11"/>
    <n v="15"/>
  </r>
  <r>
    <x v="1"/>
    <s v="Travel_Rarely"/>
    <x v="3"/>
    <s v="Current Employees"/>
    <x v="2"/>
    <x v="2"/>
    <s v="STAFF-321"/>
    <n v="321"/>
    <x v="1"/>
    <x v="8"/>
    <x v="1"/>
    <s v="No"/>
    <s v="Y"/>
    <n v="2"/>
    <n v="-2"/>
    <n v="0"/>
    <n v="59"/>
    <n v="0"/>
    <m/>
    <n v="0"/>
    <n v="1"/>
    <n v="818"/>
    <n v="6"/>
    <x v="0"/>
    <n v="1"/>
    <n v="2"/>
    <n v="52"/>
    <n v="3"/>
    <n v="1"/>
    <n v="3"/>
    <n v="2267"/>
    <n v="25657"/>
    <n v="8"/>
    <n v="17"/>
    <n v="3"/>
    <n v="4"/>
    <n v="80"/>
    <n v="0"/>
    <n v="7"/>
    <n v="2"/>
    <n v="2"/>
    <n v="2"/>
    <n v="2"/>
    <n v="2"/>
  </r>
  <r>
    <x v="1"/>
    <s v="Travel_Rarely"/>
    <x v="1"/>
    <s v="Current Employees"/>
    <x v="0"/>
    <x v="2"/>
    <s v="STAFF-323"/>
    <n v="323"/>
    <x v="0"/>
    <x v="5"/>
    <x v="2"/>
    <s v="No"/>
    <s v="Y"/>
    <n v="3"/>
    <n v="-2"/>
    <n v="0"/>
    <n v="50"/>
    <n v="0"/>
    <m/>
    <n v="0"/>
    <n v="1"/>
    <n v="854"/>
    <n v="1"/>
    <x v="2"/>
    <n v="1"/>
    <n v="4"/>
    <n v="68"/>
    <n v="3"/>
    <n v="5"/>
    <n v="4"/>
    <n v="19517"/>
    <n v="24118"/>
    <n v="3"/>
    <n v="11"/>
    <n v="3"/>
    <n v="3"/>
    <n v="80"/>
    <n v="1"/>
    <n v="32"/>
    <n v="2"/>
    <n v="7"/>
    <n v="0"/>
    <n v="0"/>
    <n v="6"/>
  </r>
  <r>
    <x v="0"/>
    <s v="Travel_Rarely"/>
    <x v="2"/>
    <s v="Ex-Employees"/>
    <x v="1"/>
    <x v="2"/>
    <s v="STAFF-325"/>
    <n v="325"/>
    <x v="1"/>
    <x v="2"/>
    <x v="1"/>
    <s v="Yes"/>
    <s v="Y"/>
    <n v="2"/>
    <n v="-2"/>
    <n v="0"/>
    <n v="33"/>
    <n v="1"/>
    <n v="1"/>
    <n v="1"/>
    <n v="0"/>
    <n v="813"/>
    <n v="14"/>
    <x v="3"/>
    <n v="1"/>
    <n v="3"/>
    <n v="58"/>
    <n v="3"/>
    <n v="1"/>
    <n v="4"/>
    <n v="2436"/>
    <n v="22149"/>
    <n v="5"/>
    <n v="13"/>
    <n v="3"/>
    <n v="3"/>
    <n v="80"/>
    <n v="1"/>
    <n v="8"/>
    <n v="1"/>
    <n v="5"/>
    <n v="4"/>
    <n v="0"/>
    <n v="4"/>
  </r>
  <r>
    <x v="1"/>
    <s v="Travel_Rarely"/>
    <x v="0"/>
    <s v="Current Employees"/>
    <x v="0"/>
    <x v="3"/>
    <s v="STAFF-327"/>
    <n v="327"/>
    <x v="0"/>
    <x v="5"/>
    <x v="1"/>
    <s v="Yes"/>
    <s v="Y"/>
    <n v="3"/>
    <n v="-2"/>
    <n v="0"/>
    <n v="43"/>
    <n v="0"/>
    <m/>
    <n v="0"/>
    <n v="1"/>
    <n v="1034"/>
    <n v="16"/>
    <x v="3"/>
    <n v="1"/>
    <n v="4"/>
    <n v="80"/>
    <n v="3"/>
    <n v="4"/>
    <n v="1"/>
    <n v="16064"/>
    <n v="7744"/>
    <n v="5"/>
    <n v="22"/>
    <n v="4"/>
    <n v="3"/>
    <n v="80"/>
    <n v="1"/>
    <n v="22"/>
    <n v="3"/>
    <n v="17"/>
    <n v="13"/>
    <n v="1"/>
    <n v="9"/>
  </r>
  <r>
    <x v="0"/>
    <s v="Travel_Rarely"/>
    <x v="2"/>
    <s v="Ex-Employees"/>
    <x v="1"/>
    <x v="0"/>
    <s v="STAFF-328"/>
    <n v="328"/>
    <x v="0"/>
    <x v="2"/>
    <x v="1"/>
    <s v="No"/>
    <s v="Y"/>
    <n v="3"/>
    <n v="-2"/>
    <n v="0"/>
    <n v="33"/>
    <n v="1"/>
    <n v="1"/>
    <n v="1"/>
    <n v="0"/>
    <n v="465"/>
    <n v="2"/>
    <x v="0"/>
    <n v="1"/>
    <n v="1"/>
    <n v="39"/>
    <n v="3"/>
    <n v="1"/>
    <n v="2"/>
    <n v="2707"/>
    <n v="21509"/>
    <n v="7"/>
    <n v="20"/>
    <n v="4"/>
    <n v="1"/>
    <n v="80"/>
    <n v="0"/>
    <n v="13"/>
    <n v="4"/>
    <n v="9"/>
    <n v="7"/>
    <n v="1"/>
    <n v="7"/>
  </r>
  <r>
    <x v="1"/>
    <s v="Non-Travel"/>
    <x v="1"/>
    <s v="Current Employees"/>
    <x v="0"/>
    <x v="0"/>
    <s v="STAFF-329"/>
    <n v="329"/>
    <x v="1"/>
    <x v="5"/>
    <x v="0"/>
    <s v="Yes"/>
    <s v="Y"/>
    <n v="2"/>
    <n v="-2"/>
    <n v="0"/>
    <n v="52"/>
    <n v="0"/>
    <m/>
    <n v="0"/>
    <n v="1"/>
    <n v="771"/>
    <n v="2"/>
    <x v="2"/>
    <n v="1"/>
    <n v="1"/>
    <n v="79"/>
    <n v="2"/>
    <n v="5"/>
    <n v="2"/>
    <n v="19068"/>
    <n v="21030"/>
    <n v="1"/>
    <n v="18"/>
    <n v="3"/>
    <n v="4"/>
    <n v="80"/>
    <n v="0"/>
    <n v="33"/>
    <n v="4"/>
    <n v="33"/>
    <n v="7"/>
    <n v="15"/>
    <n v="12"/>
  </r>
  <r>
    <x v="1"/>
    <s v="Travel_Rarely"/>
    <x v="2"/>
    <s v="Current Employees"/>
    <x v="0"/>
    <x v="0"/>
    <s v="STAFF-330"/>
    <n v="330"/>
    <x v="0"/>
    <x v="6"/>
    <x v="1"/>
    <s v="No"/>
    <s v="Y"/>
    <n v="5"/>
    <n v="-2"/>
    <n v="0"/>
    <n v="32"/>
    <n v="0"/>
    <m/>
    <n v="0"/>
    <n v="1"/>
    <n v="1401"/>
    <n v="4"/>
    <x v="0"/>
    <n v="1"/>
    <n v="3"/>
    <n v="56"/>
    <n v="3"/>
    <n v="1"/>
    <n v="2"/>
    <n v="3931"/>
    <n v="20990"/>
    <n v="2"/>
    <n v="11"/>
    <n v="3"/>
    <n v="1"/>
    <n v="80"/>
    <n v="1"/>
    <n v="6"/>
    <n v="3"/>
    <n v="4"/>
    <n v="3"/>
    <n v="1"/>
    <n v="2"/>
  </r>
  <r>
    <x v="0"/>
    <s v="Travel_Rarely"/>
    <x v="2"/>
    <s v="Ex-Employees"/>
    <x v="1"/>
    <x v="0"/>
    <s v="STAFF-331"/>
    <n v="331"/>
    <x v="1"/>
    <x v="2"/>
    <x v="0"/>
    <s v="Yes"/>
    <s v="Y"/>
    <n v="2"/>
    <n v="-2"/>
    <n v="0"/>
    <n v="32"/>
    <n v="1"/>
    <n v="1"/>
    <n v="1"/>
    <n v="0"/>
    <n v="515"/>
    <n v="1"/>
    <x v="3"/>
    <n v="1"/>
    <n v="4"/>
    <n v="62"/>
    <n v="2"/>
    <n v="1"/>
    <n v="2"/>
    <n v="3730"/>
    <n v="9571"/>
    <n v="0"/>
    <n v="14"/>
    <n v="3"/>
    <n v="4"/>
    <n v="80"/>
    <n v="0"/>
    <n v="4"/>
    <n v="1"/>
    <n v="3"/>
    <n v="2"/>
    <n v="1"/>
    <n v="2"/>
  </r>
  <r>
    <x v="1"/>
    <s v="Travel_Rarely"/>
    <x v="0"/>
    <s v="Current Employees"/>
    <x v="1"/>
    <x v="2"/>
    <s v="STAFF-332"/>
    <n v="332"/>
    <x v="0"/>
    <x v="2"/>
    <x v="2"/>
    <s v="No"/>
    <s v="Y"/>
    <n v="1"/>
    <n v="-2"/>
    <n v="0"/>
    <n v="39"/>
    <n v="0"/>
    <m/>
    <n v="0"/>
    <n v="1"/>
    <n v="1431"/>
    <n v="1"/>
    <x v="2"/>
    <n v="1"/>
    <n v="3"/>
    <n v="96"/>
    <n v="3"/>
    <n v="1"/>
    <n v="3"/>
    <n v="2232"/>
    <n v="15417"/>
    <n v="7"/>
    <n v="14"/>
    <n v="3"/>
    <n v="3"/>
    <n v="80"/>
    <n v="3"/>
    <n v="7"/>
    <n v="3"/>
    <n v="3"/>
    <n v="2"/>
    <n v="1"/>
    <n v="2"/>
  </r>
  <r>
    <x v="1"/>
    <s v="Non-Travel"/>
    <x v="2"/>
    <s v="Current Employees"/>
    <x v="0"/>
    <x v="3"/>
    <s v="STAFF-333"/>
    <n v="333"/>
    <x v="1"/>
    <x v="0"/>
    <x v="1"/>
    <s v="No"/>
    <s v="Y"/>
    <n v="2"/>
    <n v="-2"/>
    <n v="0"/>
    <n v="32"/>
    <n v="0"/>
    <m/>
    <n v="0"/>
    <n v="1"/>
    <n v="976"/>
    <n v="26"/>
    <x v="2"/>
    <n v="1"/>
    <n v="3"/>
    <n v="100"/>
    <n v="3"/>
    <n v="2"/>
    <n v="1"/>
    <n v="4465"/>
    <n v="12069"/>
    <n v="0"/>
    <n v="18"/>
    <n v="3"/>
    <n v="1"/>
    <n v="80"/>
    <n v="0"/>
    <n v="4"/>
    <n v="3"/>
    <n v="3"/>
    <n v="2"/>
    <n v="2"/>
    <n v="2"/>
  </r>
  <r>
    <x v="1"/>
    <s v="Travel_Rarely"/>
    <x v="0"/>
    <s v="Current Employees"/>
    <x v="1"/>
    <x v="0"/>
    <s v="STAFF-334"/>
    <n v="334"/>
    <x v="1"/>
    <x v="1"/>
    <x v="2"/>
    <s v="No"/>
    <s v="Y"/>
    <n v="2"/>
    <n v="-2"/>
    <n v="0"/>
    <n v="41"/>
    <n v="0"/>
    <m/>
    <n v="0"/>
    <n v="1"/>
    <n v="1411"/>
    <n v="19"/>
    <x v="0"/>
    <n v="1"/>
    <n v="3"/>
    <n v="36"/>
    <n v="3"/>
    <n v="2"/>
    <n v="2"/>
    <n v="3072"/>
    <n v="19877"/>
    <n v="2"/>
    <n v="16"/>
    <n v="3"/>
    <n v="1"/>
    <n v="80"/>
    <n v="2"/>
    <n v="17"/>
    <n v="2"/>
    <n v="1"/>
    <n v="0"/>
    <n v="0"/>
    <n v="0"/>
  </r>
  <r>
    <x v="1"/>
    <s v="Travel_Rarely"/>
    <x v="0"/>
    <s v="Current Employees"/>
    <x v="1"/>
    <x v="4"/>
    <s v="STAFF-335"/>
    <n v="335"/>
    <x v="1"/>
    <x v="1"/>
    <x v="2"/>
    <s v="No"/>
    <s v="Y"/>
    <n v="3"/>
    <n v="-2"/>
    <n v="0"/>
    <n v="40"/>
    <n v="0"/>
    <m/>
    <n v="0"/>
    <n v="1"/>
    <n v="1300"/>
    <n v="24"/>
    <x v="0"/>
    <n v="1"/>
    <n v="4"/>
    <n v="62"/>
    <n v="3"/>
    <n v="2"/>
    <n v="4"/>
    <n v="3319"/>
    <n v="24447"/>
    <n v="1"/>
    <n v="17"/>
    <n v="3"/>
    <n v="1"/>
    <n v="80"/>
    <n v="2"/>
    <n v="9"/>
    <n v="3"/>
    <n v="9"/>
    <n v="8"/>
    <n v="4"/>
    <n v="7"/>
  </r>
  <r>
    <x v="1"/>
    <s v="Travel_Rarely"/>
    <x v="1"/>
    <s v="Current Employees"/>
    <x v="1"/>
    <x v="1"/>
    <s v="STAFF-336"/>
    <n v="336"/>
    <x v="1"/>
    <x v="5"/>
    <x v="1"/>
    <s v="No"/>
    <s v="Y"/>
    <n v="2"/>
    <n v="-2"/>
    <n v="0"/>
    <n v="45"/>
    <n v="0"/>
    <m/>
    <n v="0"/>
    <n v="1"/>
    <n v="252"/>
    <n v="1"/>
    <x v="3"/>
    <n v="1"/>
    <n v="3"/>
    <n v="70"/>
    <n v="4"/>
    <n v="5"/>
    <n v="4"/>
    <n v="19202"/>
    <n v="15970"/>
    <n v="0"/>
    <n v="11"/>
    <n v="3"/>
    <n v="3"/>
    <n v="80"/>
    <n v="1"/>
    <n v="25"/>
    <n v="3"/>
    <n v="24"/>
    <n v="0"/>
    <n v="1"/>
    <n v="7"/>
  </r>
  <r>
    <x v="1"/>
    <s v="Travel_Frequently"/>
    <x v="2"/>
    <s v="Current Employees"/>
    <x v="1"/>
    <x v="2"/>
    <s v="STAFF-337"/>
    <n v="337"/>
    <x v="1"/>
    <x v="7"/>
    <x v="2"/>
    <s v="No"/>
    <s v="Y"/>
    <n v="3"/>
    <n v="-2"/>
    <n v="0"/>
    <n v="31"/>
    <n v="0"/>
    <m/>
    <n v="0"/>
    <n v="1"/>
    <n v="1327"/>
    <n v="3"/>
    <x v="2"/>
    <n v="1"/>
    <n v="2"/>
    <n v="73"/>
    <n v="3"/>
    <n v="3"/>
    <n v="3"/>
    <n v="13675"/>
    <n v="13523"/>
    <n v="9"/>
    <n v="12"/>
    <n v="3"/>
    <n v="1"/>
    <n v="80"/>
    <n v="1"/>
    <n v="9"/>
    <n v="3"/>
    <n v="2"/>
    <n v="2"/>
    <n v="2"/>
    <n v="2"/>
  </r>
  <r>
    <x v="1"/>
    <s v="Travel_Rarely"/>
    <x v="2"/>
    <s v="Current Employees"/>
    <x v="1"/>
    <x v="0"/>
    <s v="STAFF-338"/>
    <n v="338"/>
    <x v="0"/>
    <x v="1"/>
    <x v="1"/>
    <s v="No"/>
    <s v="Y"/>
    <n v="2"/>
    <n v="-2"/>
    <n v="0"/>
    <n v="33"/>
    <n v="0"/>
    <m/>
    <n v="0"/>
    <n v="1"/>
    <n v="832"/>
    <n v="5"/>
    <x v="2"/>
    <n v="1"/>
    <n v="3"/>
    <n v="63"/>
    <n v="2"/>
    <n v="1"/>
    <n v="2"/>
    <n v="2911"/>
    <n v="14776"/>
    <n v="1"/>
    <n v="13"/>
    <n v="3"/>
    <n v="3"/>
    <n v="80"/>
    <n v="1"/>
    <n v="2"/>
    <n v="2"/>
    <n v="2"/>
    <n v="2"/>
    <n v="0"/>
    <n v="2"/>
  </r>
  <r>
    <x v="1"/>
    <s v="Travel_Rarely"/>
    <x v="2"/>
    <s v="Current Employees"/>
    <x v="1"/>
    <x v="0"/>
    <s v="STAFF-339"/>
    <n v="339"/>
    <x v="1"/>
    <x v="3"/>
    <x v="1"/>
    <s v="No"/>
    <s v="Y"/>
    <n v="3"/>
    <n v="-2"/>
    <n v="0"/>
    <n v="34"/>
    <n v="0"/>
    <m/>
    <n v="0"/>
    <n v="1"/>
    <n v="470"/>
    <n v="2"/>
    <x v="2"/>
    <n v="1"/>
    <n v="4"/>
    <n v="84"/>
    <n v="2"/>
    <n v="2"/>
    <n v="2"/>
    <n v="5957"/>
    <n v="23687"/>
    <n v="6"/>
    <n v="13"/>
    <n v="3"/>
    <n v="2"/>
    <n v="80"/>
    <n v="1"/>
    <n v="13"/>
    <n v="3"/>
    <n v="11"/>
    <n v="9"/>
    <n v="5"/>
    <n v="9"/>
  </r>
  <r>
    <x v="1"/>
    <s v="Travel_Rarely"/>
    <x v="0"/>
    <s v="Current Employees"/>
    <x v="1"/>
    <x v="2"/>
    <s v="STAFF-340"/>
    <n v="340"/>
    <x v="0"/>
    <x v="1"/>
    <x v="1"/>
    <s v="No"/>
    <s v="Y"/>
    <n v="2"/>
    <n v="-2"/>
    <n v="0"/>
    <n v="37"/>
    <n v="0"/>
    <m/>
    <n v="0"/>
    <n v="1"/>
    <n v="1017"/>
    <n v="1"/>
    <x v="0"/>
    <n v="1"/>
    <n v="3"/>
    <n v="83"/>
    <n v="2"/>
    <n v="1"/>
    <n v="3"/>
    <n v="3920"/>
    <n v="18697"/>
    <n v="2"/>
    <n v="14"/>
    <n v="3"/>
    <n v="1"/>
    <n v="80"/>
    <n v="1"/>
    <n v="17"/>
    <n v="2"/>
    <n v="3"/>
    <n v="1"/>
    <n v="0"/>
    <n v="2"/>
  </r>
  <r>
    <x v="1"/>
    <s v="Travel_Frequently"/>
    <x v="1"/>
    <s v="Current Employees"/>
    <x v="1"/>
    <x v="0"/>
    <s v="STAFF-341"/>
    <n v="341"/>
    <x v="1"/>
    <x v="3"/>
    <x v="1"/>
    <s v="No"/>
    <s v="Y"/>
    <n v="1"/>
    <n v="-2"/>
    <n v="0"/>
    <n v="45"/>
    <n v="0"/>
    <m/>
    <n v="0"/>
    <n v="1"/>
    <n v="1199"/>
    <n v="7"/>
    <x v="2"/>
    <n v="1"/>
    <n v="1"/>
    <n v="77"/>
    <n v="4"/>
    <n v="2"/>
    <n v="2"/>
    <n v="6434"/>
    <n v="5118"/>
    <n v="4"/>
    <n v="17"/>
    <n v="3"/>
    <n v="4"/>
    <n v="80"/>
    <n v="1"/>
    <n v="9"/>
    <n v="3"/>
    <n v="3"/>
    <n v="2"/>
    <n v="0"/>
    <n v="2"/>
  </r>
  <r>
    <x v="0"/>
    <s v="Travel_Frequently"/>
    <x v="0"/>
    <s v="Ex-Employees"/>
    <x v="1"/>
    <x v="2"/>
    <s v="STAFF-342"/>
    <n v="342"/>
    <x v="1"/>
    <x v="3"/>
    <x v="2"/>
    <s v="No"/>
    <s v="Y"/>
    <n v="5"/>
    <n v="-2"/>
    <n v="0"/>
    <n v="37"/>
    <n v="1"/>
    <n v="1"/>
    <n v="1"/>
    <n v="0"/>
    <n v="504"/>
    <n v="10"/>
    <x v="3"/>
    <n v="1"/>
    <n v="1"/>
    <n v="61"/>
    <n v="3"/>
    <n v="3"/>
    <n v="3"/>
    <n v="10048"/>
    <n v="22573"/>
    <n v="6"/>
    <n v="11"/>
    <n v="3"/>
    <n v="2"/>
    <n v="80"/>
    <n v="2"/>
    <n v="17"/>
    <n v="3"/>
    <n v="1"/>
    <n v="0"/>
    <n v="0"/>
    <n v="0"/>
  </r>
  <r>
    <x v="1"/>
    <s v="Travel_Frequently"/>
    <x v="0"/>
    <s v="Current Employees"/>
    <x v="1"/>
    <x v="4"/>
    <s v="STAFF-343"/>
    <n v="343"/>
    <x v="0"/>
    <x v="4"/>
    <x v="0"/>
    <s v="No"/>
    <s v="Y"/>
    <n v="1"/>
    <n v="-2"/>
    <n v="0"/>
    <n v="39"/>
    <n v="0"/>
    <m/>
    <n v="0"/>
    <n v="1"/>
    <n v="505"/>
    <n v="2"/>
    <x v="2"/>
    <n v="1"/>
    <n v="4"/>
    <n v="64"/>
    <n v="3"/>
    <n v="3"/>
    <n v="4"/>
    <n v="10938"/>
    <n v="6420"/>
    <n v="0"/>
    <n v="25"/>
    <n v="4"/>
    <n v="4"/>
    <n v="80"/>
    <n v="0"/>
    <n v="20"/>
    <n v="3"/>
    <n v="19"/>
    <n v="6"/>
    <n v="11"/>
    <n v="8"/>
  </r>
  <r>
    <x v="1"/>
    <s v="Travel_Rarely"/>
    <x v="2"/>
    <s v="Current Employees"/>
    <x v="1"/>
    <x v="0"/>
    <s v="STAFF-346"/>
    <n v="346"/>
    <x v="1"/>
    <x v="1"/>
    <x v="0"/>
    <s v="No"/>
    <s v="Y"/>
    <n v="1"/>
    <n v="-2"/>
    <n v="0"/>
    <n v="29"/>
    <n v="0"/>
    <m/>
    <n v="0"/>
    <n v="1"/>
    <n v="665"/>
    <n v="15"/>
    <x v="3"/>
    <n v="1"/>
    <n v="3"/>
    <n v="60"/>
    <n v="3"/>
    <n v="1"/>
    <n v="2"/>
    <n v="2340"/>
    <n v="22673"/>
    <n v="1"/>
    <n v="19"/>
    <n v="3"/>
    <n v="1"/>
    <n v="80"/>
    <n v="0"/>
    <n v="6"/>
    <n v="3"/>
    <n v="6"/>
    <n v="5"/>
    <n v="1"/>
    <n v="5"/>
  </r>
  <r>
    <x v="1"/>
    <s v="Travel_Rarely"/>
    <x v="0"/>
    <s v="Current Employees"/>
    <x v="1"/>
    <x v="0"/>
    <s v="STAFF-347"/>
    <n v="347"/>
    <x v="0"/>
    <x v="1"/>
    <x v="0"/>
    <s v="Yes"/>
    <s v="Y"/>
    <n v="1"/>
    <n v="-2"/>
    <n v="0"/>
    <n v="42"/>
    <n v="0"/>
    <m/>
    <n v="0"/>
    <n v="1"/>
    <n v="916"/>
    <n v="17"/>
    <x v="0"/>
    <n v="1"/>
    <n v="4"/>
    <n v="82"/>
    <n v="4"/>
    <n v="2"/>
    <n v="2"/>
    <n v="6545"/>
    <n v="23016"/>
    <n v="3"/>
    <n v="13"/>
    <n v="3"/>
    <n v="3"/>
    <n v="80"/>
    <n v="0"/>
    <n v="10"/>
    <n v="3"/>
    <n v="3"/>
    <n v="2"/>
    <n v="0"/>
    <n v="2"/>
  </r>
  <r>
    <x v="1"/>
    <s v="Travel_Rarely"/>
    <x v="2"/>
    <s v="Current Employees"/>
    <x v="0"/>
    <x v="3"/>
    <s v="STAFF-349"/>
    <n v="349"/>
    <x v="1"/>
    <x v="0"/>
    <x v="2"/>
    <s v="No"/>
    <s v="Y"/>
    <n v="2"/>
    <n v="-2"/>
    <n v="0"/>
    <n v="29"/>
    <n v="0"/>
    <m/>
    <n v="0"/>
    <n v="1"/>
    <n v="1247"/>
    <n v="20"/>
    <x v="0"/>
    <n v="1"/>
    <n v="4"/>
    <n v="45"/>
    <n v="3"/>
    <n v="2"/>
    <n v="1"/>
    <n v="6931"/>
    <n v="10732"/>
    <n v="2"/>
    <n v="14"/>
    <n v="3"/>
    <n v="4"/>
    <n v="80"/>
    <n v="1"/>
    <n v="10"/>
    <n v="3"/>
    <n v="3"/>
    <n v="2"/>
    <n v="0"/>
    <n v="2"/>
  </r>
  <r>
    <x v="1"/>
    <s v="Travel_Rarely"/>
    <x v="2"/>
    <s v="Current Employees"/>
    <x v="1"/>
    <x v="0"/>
    <s v="STAFF-350"/>
    <n v="350"/>
    <x v="0"/>
    <x v="3"/>
    <x v="1"/>
    <s v="No"/>
    <s v="Y"/>
    <n v="3"/>
    <n v="-2"/>
    <n v="0"/>
    <n v="25"/>
    <n v="0"/>
    <m/>
    <n v="0"/>
    <n v="1"/>
    <n v="685"/>
    <n v="1"/>
    <x v="3"/>
    <n v="1"/>
    <n v="1"/>
    <n v="62"/>
    <n v="3"/>
    <n v="2"/>
    <n v="2"/>
    <n v="4898"/>
    <n v="7505"/>
    <n v="0"/>
    <n v="12"/>
    <n v="3"/>
    <n v="4"/>
    <n v="80"/>
    <n v="2"/>
    <n v="5"/>
    <n v="3"/>
    <n v="4"/>
    <n v="2"/>
    <n v="1"/>
    <n v="2"/>
  </r>
  <r>
    <x v="1"/>
    <s v="Travel_Rarely"/>
    <x v="0"/>
    <s v="Current Employees"/>
    <x v="1"/>
    <x v="2"/>
    <s v="STAFF-351"/>
    <n v="351"/>
    <x v="0"/>
    <x v="2"/>
    <x v="2"/>
    <s v="Yes"/>
    <s v="Y"/>
    <n v="4"/>
    <n v="-2"/>
    <n v="0"/>
    <n v="42"/>
    <n v="0"/>
    <m/>
    <n v="0"/>
    <n v="1"/>
    <n v="269"/>
    <n v="2"/>
    <x v="3"/>
    <n v="1"/>
    <n v="4"/>
    <n v="56"/>
    <n v="2"/>
    <n v="1"/>
    <n v="3"/>
    <n v="2593"/>
    <n v="8007"/>
    <n v="0"/>
    <n v="11"/>
    <n v="3"/>
    <n v="3"/>
    <n v="80"/>
    <n v="1"/>
    <n v="10"/>
    <n v="3"/>
    <n v="9"/>
    <n v="6"/>
    <n v="7"/>
    <n v="8"/>
  </r>
  <r>
    <x v="1"/>
    <s v="Travel_Rarely"/>
    <x v="0"/>
    <s v="Current Employees"/>
    <x v="1"/>
    <x v="2"/>
    <s v="STAFF-352"/>
    <n v="352"/>
    <x v="1"/>
    <x v="7"/>
    <x v="2"/>
    <s v="No"/>
    <s v="Y"/>
    <n v="5"/>
    <n v="-2"/>
    <n v="0"/>
    <n v="40"/>
    <n v="0"/>
    <m/>
    <n v="0"/>
    <n v="1"/>
    <n v="1416"/>
    <n v="2"/>
    <x v="0"/>
    <n v="1"/>
    <n v="1"/>
    <n v="49"/>
    <n v="3"/>
    <n v="5"/>
    <n v="3"/>
    <n v="19436"/>
    <n v="5949"/>
    <n v="0"/>
    <n v="19"/>
    <n v="3"/>
    <n v="4"/>
    <n v="80"/>
    <n v="1"/>
    <n v="22"/>
    <n v="3"/>
    <n v="21"/>
    <n v="7"/>
    <n v="3"/>
    <n v="9"/>
  </r>
  <r>
    <x v="1"/>
    <s v="Travel_Rarely"/>
    <x v="1"/>
    <s v="Current Employees"/>
    <x v="1"/>
    <x v="0"/>
    <s v="STAFF-353"/>
    <n v="353"/>
    <x v="1"/>
    <x v="1"/>
    <x v="1"/>
    <s v="No"/>
    <s v="Y"/>
    <n v="0"/>
    <n v="-2"/>
    <n v="0"/>
    <n v="51"/>
    <n v="0"/>
    <m/>
    <n v="0"/>
    <n v="1"/>
    <n v="833"/>
    <n v="1"/>
    <x v="3"/>
    <n v="1"/>
    <n v="3"/>
    <n v="96"/>
    <n v="3"/>
    <n v="1"/>
    <n v="2"/>
    <n v="2723"/>
    <n v="23231"/>
    <n v="1"/>
    <n v="11"/>
    <n v="3"/>
    <n v="2"/>
    <n v="80"/>
    <n v="0"/>
    <n v="1"/>
    <n v="2"/>
    <n v="1"/>
    <n v="0"/>
    <n v="0"/>
    <n v="0"/>
  </r>
  <r>
    <x v="0"/>
    <s v="Travel_Frequently"/>
    <x v="2"/>
    <s v="Ex-Employees"/>
    <x v="1"/>
    <x v="2"/>
    <s v="STAFF-355"/>
    <n v="355"/>
    <x v="1"/>
    <x v="2"/>
    <x v="0"/>
    <s v="No"/>
    <s v="Y"/>
    <n v="2"/>
    <n v="-2"/>
    <n v="0"/>
    <n v="31"/>
    <n v="1"/>
    <n v="1"/>
    <n v="1"/>
    <n v="0"/>
    <n v="307"/>
    <n v="29"/>
    <x v="0"/>
    <n v="1"/>
    <n v="3"/>
    <n v="71"/>
    <n v="2"/>
    <n v="1"/>
    <n v="3"/>
    <n v="3479"/>
    <n v="11652"/>
    <n v="0"/>
    <n v="11"/>
    <n v="3"/>
    <n v="2"/>
    <n v="80"/>
    <n v="0"/>
    <n v="6"/>
    <n v="4"/>
    <n v="5"/>
    <n v="4"/>
    <n v="1"/>
    <n v="4"/>
  </r>
  <r>
    <x v="1"/>
    <s v="Travel_Frequently"/>
    <x v="2"/>
    <s v="Current Employees"/>
    <x v="1"/>
    <x v="0"/>
    <s v="STAFF-359"/>
    <n v="359"/>
    <x v="1"/>
    <x v="2"/>
    <x v="1"/>
    <s v="No"/>
    <s v="Y"/>
    <n v="3"/>
    <n v="-2"/>
    <n v="0"/>
    <n v="32"/>
    <n v="0"/>
    <m/>
    <n v="0"/>
    <n v="1"/>
    <n v="1311"/>
    <n v="7"/>
    <x v="3"/>
    <n v="1"/>
    <n v="2"/>
    <n v="100"/>
    <n v="4"/>
    <n v="1"/>
    <n v="2"/>
    <n v="2794"/>
    <n v="26062"/>
    <n v="1"/>
    <n v="20"/>
    <n v="4"/>
    <n v="3"/>
    <n v="80"/>
    <n v="0"/>
    <n v="5"/>
    <n v="1"/>
    <n v="5"/>
    <n v="1"/>
    <n v="0"/>
    <n v="3"/>
  </r>
  <r>
    <x v="1"/>
    <s v="Non-Travel"/>
    <x v="0"/>
    <s v="Current Employees"/>
    <x v="0"/>
    <x v="0"/>
    <s v="STAFF-361"/>
    <n v="361"/>
    <x v="1"/>
    <x v="0"/>
    <x v="1"/>
    <s v="No"/>
    <s v="Y"/>
    <n v="0"/>
    <n v="-2"/>
    <n v="0"/>
    <n v="38"/>
    <n v="0"/>
    <m/>
    <n v="0"/>
    <n v="1"/>
    <n v="1327"/>
    <n v="2"/>
    <x v="0"/>
    <n v="1"/>
    <n v="4"/>
    <n v="39"/>
    <n v="2"/>
    <n v="2"/>
    <n v="2"/>
    <n v="5249"/>
    <n v="19682"/>
    <n v="3"/>
    <n v="18"/>
    <n v="3"/>
    <n v="4"/>
    <n v="80"/>
    <n v="1"/>
    <n v="13"/>
    <n v="3"/>
    <n v="8"/>
    <n v="7"/>
    <n v="7"/>
    <n v="5"/>
  </r>
  <r>
    <x v="1"/>
    <s v="Travel_Rarely"/>
    <x v="2"/>
    <s v="Current Employees"/>
    <x v="1"/>
    <x v="4"/>
    <s v="STAFF-362"/>
    <n v="362"/>
    <x v="1"/>
    <x v="2"/>
    <x v="0"/>
    <s v="No"/>
    <s v="Y"/>
    <n v="5"/>
    <n v="-2"/>
    <n v="0"/>
    <n v="32"/>
    <n v="0"/>
    <m/>
    <n v="0"/>
    <n v="1"/>
    <n v="128"/>
    <n v="2"/>
    <x v="1"/>
    <n v="1"/>
    <n v="4"/>
    <n v="84"/>
    <n v="2"/>
    <n v="2"/>
    <n v="4"/>
    <n v="2176"/>
    <n v="19737"/>
    <n v="4"/>
    <n v="13"/>
    <n v="3"/>
    <n v="4"/>
    <n v="80"/>
    <n v="0"/>
    <n v="9"/>
    <n v="3"/>
    <n v="6"/>
    <n v="2"/>
    <n v="0"/>
    <n v="4"/>
  </r>
  <r>
    <x v="1"/>
    <s v="Travel_Rarely"/>
    <x v="1"/>
    <s v="Current Employees"/>
    <x v="0"/>
    <x v="4"/>
    <s v="STAFF-363"/>
    <n v="363"/>
    <x v="0"/>
    <x v="5"/>
    <x v="1"/>
    <s v="Yes"/>
    <s v="Y"/>
    <n v="2"/>
    <n v="-2"/>
    <n v="0"/>
    <n v="46"/>
    <n v="0"/>
    <m/>
    <n v="0"/>
    <n v="1"/>
    <n v="488"/>
    <n v="2"/>
    <x v="3"/>
    <n v="1"/>
    <n v="4"/>
    <n v="75"/>
    <n v="1"/>
    <n v="4"/>
    <n v="4"/>
    <n v="16872"/>
    <n v="14977"/>
    <n v="3"/>
    <n v="12"/>
    <n v="3"/>
    <n v="2"/>
    <n v="80"/>
    <n v="1"/>
    <n v="28"/>
    <n v="2"/>
    <n v="7"/>
    <n v="7"/>
    <n v="7"/>
    <n v="7"/>
  </r>
  <r>
    <x v="0"/>
    <s v="Travel_Rarely"/>
    <x v="2"/>
    <s v="Ex-Employees"/>
    <x v="1"/>
    <x v="0"/>
    <s v="STAFF-364"/>
    <n v="364"/>
    <x v="1"/>
    <x v="2"/>
    <x v="0"/>
    <s v="No"/>
    <s v="Y"/>
    <n v="5"/>
    <n v="-2"/>
    <n v="0"/>
    <n v="28"/>
    <n v="1"/>
    <n v="1"/>
    <n v="1"/>
    <n v="0"/>
    <n v="529"/>
    <n v="2"/>
    <x v="2"/>
    <n v="1"/>
    <n v="1"/>
    <n v="79"/>
    <n v="3"/>
    <n v="1"/>
    <n v="2"/>
    <n v="3485"/>
    <n v="14935"/>
    <n v="2"/>
    <n v="11"/>
    <n v="3"/>
    <n v="3"/>
    <n v="80"/>
    <n v="0"/>
    <n v="5"/>
    <n v="1"/>
    <n v="0"/>
    <n v="0"/>
    <n v="0"/>
    <n v="0"/>
  </r>
  <r>
    <x v="1"/>
    <s v="Travel_Rarely"/>
    <x v="2"/>
    <s v="Current Employees"/>
    <x v="0"/>
    <x v="2"/>
    <s v="STAFF-366"/>
    <n v="366"/>
    <x v="1"/>
    <x v="0"/>
    <x v="1"/>
    <s v="No"/>
    <s v="Y"/>
    <n v="2"/>
    <n v="-2"/>
    <n v="0"/>
    <n v="29"/>
    <n v="0"/>
    <m/>
    <n v="0"/>
    <n v="1"/>
    <n v="1210"/>
    <n v="2"/>
    <x v="3"/>
    <n v="1"/>
    <n v="1"/>
    <n v="78"/>
    <n v="2"/>
    <n v="2"/>
    <n v="3"/>
    <n v="6644"/>
    <n v="3687"/>
    <n v="2"/>
    <n v="19"/>
    <n v="3"/>
    <n v="2"/>
    <n v="80"/>
    <n v="2"/>
    <n v="10"/>
    <n v="3"/>
    <n v="0"/>
    <n v="0"/>
    <n v="0"/>
    <n v="0"/>
  </r>
  <r>
    <x v="1"/>
    <s v="Travel_Rarely"/>
    <x v="2"/>
    <s v="Current Employees"/>
    <x v="1"/>
    <x v="2"/>
    <s v="STAFF-367"/>
    <n v="367"/>
    <x v="1"/>
    <x v="4"/>
    <x v="1"/>
    <s v="No"/>
    <s v="Y"/>
    <n v="2"/>
    <n v="-2"/>
    <n v="0"/>
    <n v="31"/>
    <n v="0"/>
    <m/>
    <n v="0"/>
    <n v="1"/>
    <n v="1463"/>
    <n v="23"/>
    <x v="3"/>
    <n v="1"/>
    <n v="2"/>
    <n v="64"/>
    <n v="2"/>
    <n v="2"/>
    <n v="4"/>
    <n v="5582"/>
    <n v="14408"/>
    <n v="0"/>
    <n v="21"/>
    <n v="4"/>
    <n v="2"/>
    <n v="80"/>
    <n v="1"/>
    <n v="10"/>
    <n v="3"/>
    <n v="9"/>
    <n v="0"/>
    <n v="7"/>
    <n v="8"/>
  </r>
  <r>
    <x v="1"/>
    <s v="Non-Travel"/>
    <x v="2"/>
    <s v="Current Employees"/>
    <x v="1"/>
    <x v="0"/>
    <s v="STAFF-369"/>
    <n v="369"/>
    <x v="1"/>
    <x v="4"/>
    <x v="2"/>
    <s v="No"/>
    <s v="Y"/>
    <n v="2"/>
    <n v="-2"/>
    <n v="0"/>
    <n v="25"/>
    <n v="0"/>
    <m/>
    <n v="0"/>
    <n v="1"/>
    <n v="675"/>
    <n v="5"/>
    <x v="0"/>
    <n v="1"/>
    <n v="2"/>
    <n v="85"/>
    <n v="4"/>
    <n v="2"/>
    <n v="2"/>
    <n v="4000"/>
    <n v="18384"/>
    <n v="1"/>
    <n v="12"/>
    <n v="3"/>
    <n v="4"/>
    <n v="80"/>
    <n v="2"/>
    <n v="6"/>
    <n v="3"/>
    <n v="6"/>
    <n v="3"/>
    <n v="1"/>
    <n v="5"/>
  </r>
  <r>
    <x v="1"/>
    <s v="Travel_Rarely"/>
    <x v="1"/>
    <s v="Current Employees"/>
    <x v="1"/>
    <x v="2"/>
    <s v="STAFF-372"/>
    <n v="372"/>
    <x v="1"/>
    <x v="4"/>
    <x v="1"/>
    <s v="Yes"/>
    <s v="Y"/>
    <n v="2"/>
    <n v="-2"/>
    <n v="0"/>
    <n v="45"/>
    <n v="0"/>
    <m/>
    <n v="0"/>
    <n v="1"/>
    <n v="1385"/>
    <n v="20"/>
    <x v="0"/>
    <n v="1"/>
    <n v="3"/>
    <n v="79"/>
    <n v="3"/>
    <n v="4"/>
    <n v="4"/>
    <n v="13496"/>
    <n v="7501"/>
    <n v="0"/>
    <n v="14"/>
    <n v="3"/>
    <n v="2"/>
    <n v="80"/>
    <n v="0"/>
    <n v="21"/>
    <n v="3"/>
    <n v="20"/>
    <n v="7"/>
    <n v="4"/>
    <n v="10"/>
  </r>
  <r>
    <x v="1"/>
    <s v="Travel_Rarely"/>
    <x v="0"/>
    <s v="Current Employees"/>
    <x v="1"/>
    <x v="0"/>
    <s v="STAFF-373"/>
    <n v="373"/>
    <x v="1"/>
    <x v="2"/>
    <x v="1"/>
    <s v="No"/>
    <s v="Y"/>
    <n v="4"/>
    <n v="-2"/>
    <n v="0"/>
    <n v="36"/>
    <n v="0"/>
    <m/>
    <n v="0"/>
    <n v="1"/>
    <n v="1403"/>
    <n v="6"/>
    <x v="3"/>
    <n v="1"/>
    <n v="4"/>
    <n v="47"/>
    <n v="3"/>
    <n v="1"/>
    <n v="2"/>
    <n v="3210"/>
    <n v="20251"/>
    <n v="0"/>
    <n v="11"/>
    <n v="3"/>
    <n v="3"/>
    <n v="80"/>
    <n v="1"/>
    <n v="16"/>
    <n v="3"/>
    <n v="15"/>
    <n v="13"/>
    <n v="10"/>
    <n v="11"/>
  </r>
  <r>
    <x v="1"/>
    <s v="Travel_Rarely"/>
    <x v="3"/>
    <s v="Current Employees"/>
    <x v="1"/>
    <x v="2"/>
    <s v="STAFF-374"/>
    <n v="374"/>
    <x v="1"/>
    <x v="5"/>
    <x v="0"/>
    <s v="Yes"/>
    <s v="Y"/>
    <n v="2"/>
    <n v="-2"/>
    <n v="0"/>
    <n v="55"/>
    <n v="0"/>
    <m/>
    <n v="0"/>
    <n v="1"/>
    <n v="452"/>
    <n v="1"/>
    <x v="3"/>
    <n v="1"/>
    <n v="4"/>
    <n v="81"/>
    <n v="3"/>
    <n v="5"/>
    <n v="3"/>
    <n v="19045"/>
    <n v="18938"/>
    <n v="0"/>
    <n v="14"/>
    <n v="3"/>
    <n v="3"/>
    <n v="80"/>
    <n v="0"/>
    <n v="37"/>
    <n v="3"/>
    <n v="36"/>
    <n v="10"/>
    <n v="4"/>
    <n v="13"/>
  </r>
  <r>
    <x v="0"/>
    <s v="Non-Travel"/>
    <x v="1"/>
    <s v="Ex-Employees"/>
    <x v="1"/>
    <x v="0"/>
    <s v="STAFF-376"/>
    <n v="376"/>
    <x v="1"/>
    <x v="5"/>
    <x v="1"/>
    <s v="Yes"/>
    <s v="Y"/>
    <n v="2"/>
    <n v="-2"/>
    <n v="0"/>
    <n v="47"/>
    <n v="1"/>
    <n v="1"/>
    <n v="1"/>
    <n v="0"/>
    <n v="666"/>
    <n v="29"/>
    <x v="2"/>
    <n v="1"/>
    <n v="1"/>
    <n v="88"/>
    <n v="3"/>
    <n v="3"/>
    <n v="2"/>
    <n v="11849"/>
    <n v="10268"/>
    <n v="1"/>
    <n v="12"/>
    <n v="3"/>
    <n v="4"/>
    <n v="80"/>
    <n v="1"/>
    <n v="10"/>
    <n v="2"/>
    <n v="10"/>
    <n v="7"/>
    <n v="9"/>
    <n v="9"/>
  </r>
  <r>
    <x v="1"/>
    <s v="Travel_Rarely"/>
    <x v="2"/>
    <s v="Current Employees"/>
    <x v="1"/>
    <x v="2"/>
    <s v="STAFF-377"/>
    <n v="377"/>
    <x v="1"/>
    <x v="1"/>
    <x v="1"/>
    <s v="No"/>
    <s v="Y"/>
    <n v="3"/>
    <n v="-2"/>
    <n v="0"/>
    <n v="28"/>
    <n v="0"/>
    <m/>
    <n v="0"/>
    <n v="1"/>
    <n v="1158"/>
    <n v="9"/>
    <x v="3"/>
    <n v="1"/>
    <n v="4"/>
    <n v="94"/>
    <n v="3"/>
    <n v="1"/>
    <n v="4"/>
    <n v="2070"/>
    <n v="2613"/>
    <n v="1"/>
    <n v="23"/>
    <n v="4"/>
    <n v="4"/>
    <n v="80"/>
    <n v="1"/>
    <n v="5"/>
    <n v="2"/>
    <n v="5"/>
    <n v="2"/>
    <n v="0"/>
    <n v="4"/>
  </r>
  <r>
    <x v="1"/>
    <s v="Travel_Rarely"/>
    <x v="0"/>
    <s v="Current Employees"/>
    <x v="0"/>
    <x v="2"/>
    <s v="STAFF-378"/>
    <n v="378"/>
    <x v="1"/>
    <x v="0"/>
    <x v="1"/>
    <s v="No"/>
    <s v="Y"/>
    <n v="5"/>
    <n v="-2"/>
    <n v="0"/>
    <n v="37"/>
    <n v="0"/>
    <m/>
    <n v="0"/>
    <n v="1"/>
    <n v="228"/>
    <n v="6"/>
    <x v="2"/>
    <n v="1"/>
    <n v="3"/>
    <n v="98"/>
    <n v="3"/>
    <n v="2"/>
    <n v="4"/>
    <n v="6502"/>
    <n v="22825"/>
    <n v="4"/>
    <n v="14"/>
    <n v="3"/>
    <n v="2"/>
    <n v="80"/>
    <n v="1"/>
    <n v="7"/>
    <n v="4"/>
    <n v="5"/>
    <n v="4"/>
    <n v="0"/>
    <n v="1"/>
  </r>
  <r>
    <x v="1"/>
    <s v="Travel_Rarely"/>
    <x v="4"/>
    <s v="Current Employees"/>
    <x v="1"/>
    <x v="2"/>
    <s v="STAFF-379"/>
    <n v="379"/>
    <x v="1"/>
    <x v="1"/>
    <x v="0"/>
    <s v="No"/>
    <s v="Y"/>
    <n v="4"/>
    <n v="-2"/>
    <n v="0"/>
    <n v="21"/>
    <n v="0"/>
    <m/>
    <n v="0"/>
    <n v="1"/>
    <n v="996"/>
    <n v="3"/>
    <x v="0"/>
    <n v="1"/>
    <n v="4"/>
    <n v="100"/>
    <n v="2"/>
    <n v="1"/>
    <n v="3"/>
    <n v="3230"/>
    <n v="10531"/>
    <n v="1"/>
    <n v="17"/>
    <n v="3"/>
    <n v="1"/>
    <n v="80"/>
    <n v="0"/>
    <n v="3"/>
    <n v="4"/>
    <n v="3"/>
    <n v="2"/>
    <n v="1"/>
    <n v="0"/>
  </r>
  <r>
    <x v="1"/>
    <s v="Non-Travel"/>
    <x v="0"/>
    <s v="Current Employees"/>
    <x v="1"/>
    <x v="2"/>
    <s v="STAFF-380"/>
    <n v="380"/>
    <x v="0"/>
    <x v="7"/>
    <x v="2"/>
    <s v="Yes"/>
    <s v="Y"/>
    <n v="2"/>
    <n v="-2"/>
    <n v="0"/>
    <n v="37"/>
    <n v="0"/>
    <m/>
    <n v="0"/>
    <n v="1"/>
    <n v="728"/>
    <n v="1"/>
    <x v="2"/>
    <n v="1"/>
    <n v="1"/>
    <n v="80"/>
    <n v="3"/>
    <n v="3"/>
    <n v="4"/>
    <n v="13603"/>
    <n v="11677"/>
    <n v="2"/>
    <n v="18"/>
    <n v="3"/>
    <n v="1"/>
    <n v="80"/>
    <n v="2"/>
    <n v="15"/>
    <n v="3"/>
    <n v="5"/>
    <n v="2"/>
    <n v="0"/>
    <n v="2"/>
  </r>
  <r>
    <x v="1"/>
    <s v="Travel_Rarely"/>
    <x v="0"/>
    <s v="Current Employees"/>
    <x v="1"/>
    <x v="0"/>
    <s v="STAFF-381"/>
    <n v="381"/>
    <x v="0"/>
    <x v="5"/>
    <x v="2"/>
    <s v="No"/>
    <s v="Y"/>
    <n v="6"/>
    <n v="-2"/>
    <n v="0"/>
    <n v="35"/>
    <n v="0"/>
    <m/>
    <n v="0"/>
    <n v="1"/>
    <n v="1315"/>
    <n v="22"/>
    <x v="3"/>
    <n v="1"/>
    <n v="2"/>
    <n v="71"/>
    <n v="4"/>
    <n v="3"/>
    <n v="2"/>
    <n v="11996"/>
    <n v="19100"/>
    <n v="7"/>
    <n v="18"/>
    <n v="3"/>
    <n v="2"/>
    <n v="80"/>
    <n v="1"/>
    <n v="10"/>
    <n v="2"/>
    <n v="7"/>
    <n v="7"/>
    <n v="6"/>
    <n v="2"/>
  </r>
  <r>
    <x v="1"/>
    <s v="Travel_Rarely"/>
    <x v="0"/>
    <s v="Current Employees"/>
    <x v="0"/>
    <x v="2"/>
    <s v="STAFF-382"/>
    <n v="382"/>
    <x v="0"/>
    <x v="0"/>
    <x v="2"/>
    <s v="Yes"/>
    <s v="Y"/>
    <n v="3"/>
    <n v="-2"/>
    <n v="0"/>
    <n v="38"/>
    <n v="0"/>
    <m/>
    <n v="0"/>
    <n v="1"/>
    <n v="322"/>
    <n v="7"/>
    <x v="0"/>
    <n v="1"/>
    <n v="1"/>
    <n v="44"/>
    <n v="4"/>
    <n v="2"/>
    <n v="3"/>
    <n v="5605"/>
    <n v="19191"/>
    <n v="1"/>
    <n v="24"/>
    <n v="4"/>
    <n v="3"/>
    <n v="80"/>
    <n v="1"/>
    <n v="8"/>
    <n v="3"/>
    <n v="8"/>
    <n v="0"/>
    <n v="7"/>
    <n v="7"/>
  </r>
  <r>
    <x v="1"/>
    <s v="Travel_Frequently"/>
    <x v="2"/>
    <s v="Current Employees"/>
    <x v="1"/>
    <x v="0"/>
    <s v="STAFF-384"/>
    <n v="384"/>
    <x v="0"/>
    <x v="3"/>
    <x v="2"/>
    <s v="No"/>
    <s v="Y"/>
    <n v="6"/>
    <n v="-2"/>
    <n v="0"/>
    <n v="26"/>
    <n v="0"/>
    <m/>
    <n v="0"/>
    <n v="1"/>
    <n v="1479"/>
    <n v="1"/>
    <x v="3"/>
    <n v="1"/>
    <n v="3"/>
    <n v="84"/>
    <n v="3"/>
    <n v="2"/>
    <n v="2"/>
    <n v="6397"/>
    <n v="26767"/>
    <n v="1"/>
    <n v="20"/>
    <n v="4"/>
    <n v="1"/>
    <n v="80"/>
    <n v="1"/>
    <n v="6"/>
    <n v="1"/>
    <n v="6"/>
    <n v="5"/>
    <n v="1"/>
    <n v="4"/>
  </r>
  <r>
    <x v="1"/>
    <s v="Travel_Rarely"/>
    <x v="1"/>
    <s v="Current Employees"/>
    <x v="1"/>
    <x v="0"/>
    <s v="STAFF-385"/>
    <n v="385"/>
    <x v="1"/>
    <x v="7"/>
    <x v="2"/>
    <s v="No"/>
    <s v="Y"/>
    <n v="4"/>
    <n v="-2"/>
    <n v="0"/>
    <n v="50"/>
    <n v="0"/>
    <m/>
    <n v="0"/>
    <n v="1"/>
    <n v="797"/>
    <n v="4"/>
    <x v="1"/>
    <n v="1"/>
    <n v="1"/>
    <n v="96"/>
    <n v="3"/>
    <n v="5"/>
    <n v="2"/>
    <n v="19144"/>
    <n v="15815"/>
    <n v="3"/>
    <n v="14"/>
    <n v="3"/>
    <n v="1"/>
    <n v="80"/>
    <n v="2"/>
    <n v="28"/>
    <n v="2"/>
    <n v="10"/>
    <n v="4"/>
    <n v="1"/>
    <n v="6"/>
  </r>
  <r>
    <x v="1"/>
    <s v="Travel_Rarely"/>
    <x v="1"/>
    <s v="Current Employees"/>
    <x v="1"/>
    <x v="2"/>
    <s v="STAFF-386"/>
    <n v="386"/>
    <x v="1"/>
    <x v="7"/>
    <x v="1"/>
    <s v="Yes"/>
    <s v="Y"/>
    <n v="5"/>
    <n v="-2"/>
    <n v="0"/>
    <n v="53"/>
    <n v="0"/>
    <m/>
    <n v="0"/>
    <n v="1"/>
    <n v="1070"/>
    <n v="3"/>
    <x v="2"/>
    <n v="1"/>
    <n v="3"/>
    <n v="45"/>
    <n v="3"/>
    <n v="4"/>
    <n v="3"/>
    <n v="17584"/>
    <n v="21016"/>
    <n v="3"/>
    <n v="16"/>
    <n v="3"/>
    <n v="4"/>
    <n v="80"/>
    <n v="3"/>
    <n v="21"/>
    <n v="2"/>
    <n v="5"/>
    <n v="3"/>
    <n v="1"/>
    <n v="3"/>
  </r>
  <r>
    <x v="1"/>
    <s v="Travel_Rarely"/>
    <x v="0"/>
    <s v="Current Employees"/>
    <x v="0"/>
    <x v="0"/>
    <s v="STAFF-387"/>
    <n v="387"/>
    <x v="1"/>
    <x v="0"/>
    <x v="1"/>
    <s v="No"/>
    <s v="Y"/>
    <n v="3"/>
    <n v="-2"/>
    <n v="0"/>
    <n v="42"/>
    <n v="0"/>
    <m/>
    <n v="0"/>
    <n v="1"/>
    <n v="635"/>
    <n v="1"/>
    <x v="1"/>
    <n v="1"/>
    <n v="2"/>
    <n v="99"/>
    <n v="3"/>
    <n v="2"/>
    <n v="2"/>
    <n v="4907"/>
    <n v="24532"/>
    <n v="1"/>
    <n v="25"/>
    <n v="4"/>
    <n v="3"/>
    <n v="80"/>
    <n v="0"/>
    <n v="20"/>
    <n v="3"/>
    <n v="20"/>
    <n v="16"/>
    <n v="11"/>
    <n v="6"/>
  </r>
  <r>
    <x v="1"/>
    <s v="Travel_Frequently"/>
    <x v="2"/>
    <s v="Current Employees"/>
    <x v="0"/>
    <x v="0"/>
    <s v="STAFF-388"/>
    <n v="388"/>
    <x v="1"/>
    <x v="0"/>
    <x v="0"/>
    <s v="No"/>
    <s v="Y"/>
    <n v="3"/>
    <n v="-2"/>
    <n v="0"/>
    <n v="29"/>
    <n v="0"/>
    <m/>
    <n v="0"/>
    <n v="1"/>
    <n v="442"/>
    <n v="2"/>
    <x v="0"/>
    <n v="1"/>
    <n v="2"/>
    <n v="44"/>
    <n v="3"/>
    <n v="2"/>
    <n v="2"/>
    <n v="4554"/>
    <n v="20260"/>
    <n v="1"/>
    <n v="18"/>
    <n v="3"/>
    <n v="1"/>
    <n v="80"/>
    <n v="0"/>
    <n v="10"/>
    <n v="2"/>
    <n v="10"/>
    <n v="7"/>
    <n v="0"/>
    <n v="9"/>
  </r>
  <r>
    <x v="1"/>
    <s v="Travel_Rarely"/>
    <x v="3"/>
    <s v="Current Employees"/>
    <x v="1"/>
    <x v="4"/>
    <s v="STAFF-389"/>
    <n v="389"/>
    <x v="1"/>
    <x v="2"/>
    <x v="1"/>
    <s v="Yes"/>
    <s v="Y"/>
    <n v="4"/>
    <n v="-2"/>
    <n v="0"/>
    <n v="55"/>
    <n v="0"/>
    <m/>
    <n v="0"/>
    <n v="1"/>
    <n v="147"/>
    <n v="20"/>
    <x v="0"/>
    <n v="1"/>
    <n v="4"/>
    <n v="37"/>
    <n v="3"/>
    <n v="2"/>
    <n v="4"/>
    <n v="5415"/>
    <n v="15972"/>
    <n v="3"/>
    <n v="19"/>
    <n v="3"/>
    <n v="4"/>
    <n v="80"/>
    <n v="1"/>
    <n v="12"/>
    <n v="3"/>
    <n v="10"/>
    <n v="7"/>
    <n v="0"/>
    <n v="8"/>
  </r>
  <r>
    <x v="1"/>
    <s v="Travel_Frequently"/>
    <x v="2"/>
    <s v="Current Employees"/>
    <x v="1"/>
    <x v="2"/>
    <s v="STAFF-390"/>
    <n v="390"/>
    <x v="1"/>
    <x v="4"/>
    <x v="1"/>
    <s v="Yes"/>
    <s v="Y"/>
    <n v="3"/>
    <n v="-2"/>
    <n v="0"/>
    <n v="26"/>
    <n v="0"/>
    <m/>
    <n v="0"/>
    <n v="1"/>
    <n v="496"/>
    <n v="11"/>
    <x v="0"/>
    <n v="1"/>
    <n v="1"/>
    <n v="60"/>
    <n v="3"/>
    <n v="2"/>
    <n v="3"/>
    <n v="4741"/>
    <n v="22722"/>
    <n v="1"/>
    <n v="13"/>
    <n v="3"/>
    <n v="3"/>
    <n v="80"/>
    <n v="1"/>
    <n v="5"/>
    <n v="3"/>
    <n v="5"/>
    <n v="3"/>
    <n v="3"/>
    <n v="3"/>
  </r>
  <r>
    <x v="1"/>
    <s v="Travel_Rarely"/>
    <x v="0"/>
    <s v="Current Employees"/>
    <x v="1"/>
    <x v="0"/>
    <s v="STAFF-391"/>
    <n v="391"/>
    <x v="0"/>
    <x v="1"/>
    <x v="0"/>
    <s v="No"/>
    <s v="Y"/>
    <n v="3"/>
    <n v="-2"/>
    <n v="0"/>
    <n v="37"/>
    <n v="0"/>
    <m/>
    <n v="0"/>
    <n v="1"/>
    <n v="1372"/>
    <n v="1"/>
    <x v="3"/>
    <n v="1"/>
    <n v="4"/>
    <n v="42"/>
    <n v="3"/>
    <n v="1"/>
    <n v="2"/>
    <n v="2115"/>
    <n v="15881"/>
    <n v="1"/>
    <n v="12"/>
    <n v="3"/>
    <n v="2"/>
    <n v="80"/>
    <n v="0"/>
    <n v="17"/>
    <n v="3"/>
    <n v="17"/>
    <n v="12"/>
    <n v="5"/>
    <n v="7"/>
  </r>
  <r>
    <x v="0"/>
    <s v="Travel_Frequently"/>
    <x v="0"/>
    <s v="Ex-Employees"/>
    <x v="1"/>
    <x v="0"/>
    <s v="STAFF-392"/>
    <n v="392"/>
    <x v="1"/>
    <x v="2"/>
    <x v="2"/>
    <s v="Yes"/>
    <s v="Y"/>
    <n v="0"/>
    <n v="-2"/>
    <n v="0"/>
    <n v="44"/>
    <n v="1"/>
    <n v="1"/>
    <n v="1"/>
    <n v="0"/>
    <n v="920"/>
    <n v="24"/>
    <x v="3"/>
    <n v="1"/>
    <n v="4"/>
    <n v="43"/>
    <n v="3"/>
    <n v="1"/>
    <n v="2"/>
    <n v="3161"/>
    <n v="19920"/>
    <n v="3"/>
    <n v="22"/>
    <n v="4"/>
    <n v="4"/>
    <n v="80"/>
    <n v="1"/>
    <n v="19"/>
    <n v="1"/>
    <n v="1"/>
    <n v="0"/>
    <n v="0"/>
    <n v="0"/>
  </r>
  <r>
    <x v="1"/>
    <s v="Travel_Rarely"/>
    <x v="0"/>
    <s v="Current Employees"/>
    <x v="1"/>
    <x v="0"/>
    <s v="STAFF-393"/>
    <n v="393"/>
    <x v="1"/>
    <x v="4"/>
    <x v="2"/>
    <s v="No"/>
    <s v="Y"/>
    <n v="2"/>
    <n v="-2"/>
    <n v="0"/>
    <n v="38"/>
    <n v="0"/>
    <m/>
    <n v="0"/>
    <n v="1"/>
    <n v="688"/>
    <n v="23"/>
    <x v="2"/>
    <n v="1"/>
    <n v="4"/>
    <n v="82"/>
    <n v="3"/>
    <n v="2"/>
    <n v="2"/>
    <n v="5745"/>
    <n v="18899"/>
    <n v="9"/>
    <n v="14"/>
    <n v="3"/>
    <n v="2"/>
    <n v="80"/>
    <n v="1"/>
    <n v="10"/>
    <n v="3"/>
    <n v="2"/>
    <n v="2"/>
    <n v="1"/>
    <n v="2"/>
  </r>
  <r>
    <x v="0"/>
    <s v="Travel_Rarely"/>
    <x v="2"/>
    <s v="Ex-Employees"/>
    <x v="1"/>
    <x v="2"/>
    <s v="STAFF-394"/>
    <n v="394"/>
    <x v="1"/>
    <x v="2"/>
    <x v="2"/>
    <s v="Yes"/>
    <s v="Y"/>
    <n v="2"/>
    <n v="-2"/>
    <n v="0"/>
    <n v="26"/>
    <n v="1"/>
    <n v="1"/>
    <n v="1"/>
    <n v="0"/>
    <n v="1449"/>
    <n v="16"/>
    <x v="2"/>
    <n v="1"/>
    <n v="1"/>
    <n v="45"/>
    <n v="3"/>
    <n v="1"/>
    <n v="3"/>
    <n v="2373"/>
    <n v="14180"/>
    <n v="2"/>
    <n v="13"/>
    <n v="3"/>
    <n v="4"/>
    <n v="80"/>
    <n v="1"/>
    <n v="5"/>
    <n v="3"/>
    <n v="3"/>
    <n v="2"/>
    <n v="0"/>
    <n v="2"/>
  </r>
  <r>
    <x v="1"/>
    <s v="Travel_Rarely"/>
    <x v="2"/>
    <s v="Current Employees"/>
    <x v="1"/>
    <x v="0"/>
    <s v="STAFF-395"/>
    <n v="395"/>
    <x v="0"/>
    <x v="1"/>
    <x v="0"/>
    <s v="No"/>
    <s v="Y"/>
    <n v="3"/>
    <n v="-2"/>
    <n v="0"/>
    <n v="28"/>
    <n v="0"/>
    <m/>
    <n v="0"/>
    <n v="1"/>
    <n v="1117"/>
    <n v="8"/>
    <x v="0"/>
    <n v="1"/>
    <n v="4"/>
    <n v="66"/>
    <n v="3"/>
    <n v="1"/>
    <n v="2"/>
    <n v="3310"/>
    <n v="4488"/>
    <n v="1"/>
    <n v="21"/>
    <n v="4"/>
    <n v="4"/>
    <n v="80"/>
    <n v="0"/>
    <n v="5"/>
    <n v="3"/>
    <n v="5"/>
    <n v="3"/>
    <n v="0"/>
    <n v="2"/>
  </r>
  <r>
    <x v="1"/>
    <s v="Travel_Frequently"/>
    <x v="1"/>
    <s v="Current Employees"/>
    <x v="1"/>
    <x v="0"/>
    <s v="STAFF-396"/>
    <n v="396"/>
    <x v="0"/>
    <x v="7"/>
    <x v="0"/>
    <s v="Yes"/>
    <s v="Y"/>
    <n v="4"/>
    <n v="-2"/>
    <n v="0"/>
    <n v="49"/>
    <n v="0"/>
    <m/>
    <n v="0"/>
    <n v="1"/>
    <n v="636"/>
    <n v="10"/>
    <x v="2"/>
    <n v="1"/>
    <n v="3"/>
    <n v="35"/>
    <n v="3"/>
    <n v="5"/>
    <n v="2"/>
    <n v="18665"/>
    <n v="25594"/>
    <n v="9"/>
    <n v="11"/>
    <n v="3"/>
    <n v="4"/>
    <n v="80"/>
    <n v="0"/>
    <n v="22"/>
    <n v="3"/>
    <n v="3"/>
    <n v="2"/>
    <n v="1"/>
    <n v="2"/>
  </r>
  <r>
    <x v="1"/>
    <s v="Travel_Rarely"/>
    <x v="0"/>
    <s v="Current Employees"/>
    <x v="1"/>
    <x v="4"/>
    <s v="STAFF-397"/>
    <n v="397"/>
    <x v="1"/>
    <x v="1"/>
    <x v="0"/>
    <s v="No"/>
    <s v="Y"/>
    <n v="2"/>
    <n v="-2"/>
    <n v="0"/>
    <n v="36"/>
    <n v="0"/>
    <m/>
    <n v="0"/>
    <n v="1"/>
    <n v="506"/>
    <n v="3"/>
    <x v="3"/>
    <n v="1"/>
    <n v="4"/>
    <n v="30"/>
    <n v="3"/>
    <n v="2"/>
    <n v="4"/>
    <n v="4485"/>
    <n v="26285"/>
    <n v="4"/>
    <n v="12"/>
    <n v="3"/>
    <n v="4"/>
    <n v="80"/>
    <n v="0"/>
    <n v="10"/>
    <n v="3"/>
    <n v="8"/>
    <n v="0"/>
    <n v="7"/>
    <n v="7"/>
  </r>
  <r>
    <x v="1"/>
    <s v="Travel_Frequently"/>
    <x v="2"/>
    <s v="Current Employees"/>
    <x v="0"/>
    <x v="3"/>
    <s v="STAFF-399"/>
    <n v="399"/>
    <x v="0"/>
    <x v="6"/>
    <x v="2"/>
    <s v="No"/>
    <s v="Y"/>
    <n v="5"/>
    <n v="-2"/>
    <n v="0"/>
    <n v="31"/>
    <n v="0"/>
    <m/>
    <n v="0"/>
    <n v="1"/>
    <n v="444"/>
    <n v="5"/>
    <x v="3"/>
    <n v="1"/>
    <n v="4"/>
    <n v="84"/>
    <n v="3"/>
    <n v="1"/>
    <n v="1"/>
    <n v="2789"/>
    <n v="3909"/>
    <n v="1"/>
    <n v="11"/>
    <n v="3"/>
    <n v="3"/>
    <n v="80"/>
    <n v="1"/>
    <n v="2"/>
    <n v="2"/>
    <n v="2"/>
    <n v="2"/>
    <n v="2"/>
    <n v="2"/>
  </r>
  <r>
    <x v="0"/>
    <s v="Travel_Rarely"/>
    <x v="2"/>
    <s v="Ex-Employees"/>
    <x v="0"/>
    <x v="3"/>
    <s v="STAFF-401"/>
    <n v="401"/>
    <x v="1"/>
    <x v="0"/>
    <x v="0"/>
    <s v="Yes"/>
    <s v="Y"/>
    <n v="0"/>
    <n v="-2"/>
    <n v="0"/>
    <n v="26"/>
    <n v="1"/>
    <n v="1"/>
    <n v="1"/>
    <n v="0"/>
    <n v="950"/>
    <n v="4"/>
    <x v="2"/>
    <n v="1"/>
    <n v="4"/>
    <n v="48"/>
    <n v="2"/>
    <n v="2"/>
    <n v="1"/>
    <n v="5828"/>
    <n v="8450"/>
    <n v="1"/>
    <n v="12"/>
    <n v="3"/>
    <n v="2"/>
    <n v="80"/>
    <n v="0"/>
    <n v="8"/>
    <n v="3"/>
    <n v="8"/>
    <n v="7"/>
    <n v="7"/>
    <n v="4"/>
  </r>
  <r>
    <x v="1"/>
    <s v="Travel_Frequently"/>
    <x v="0"/>
    <s v="Current Employees"/>
    <x v="1"/>
    <x v="2"/>
    <s v="STAFF-403"/>
    <n v="403"/>
    <x v="1"/>
    <x v="1"/>
    <x v="1"/>
    <s v="Yes"/>
    <s v="Y"/>
    <n v="3"/>
    <n v="-2"/>
    <n v="0"/>
    <n v="37"/>
    <n v="0"/>
    <m/>
    <n v="0"/>
    <n v="1"/>
    <n v="889"/>
    <n v="9"/>
    <x v="3"/>
    <n v="1"/>
    <n v="2"/>
    <n v="53"/>
    <n v="3"/>
    <n v="1"/>
    <n v="4"/>
    <n v="2326"/>
    <n v="11411"/>
    <n v="1"/>
    <n v="12"/>
    <n v="3"/>
    <n v="3"/>
    <n v="80"/>
    <n v="3"/>
    <n v="4"/>
    <n v="2"/>
    <n v="4"/>
    <n v="2"/>
    <n v="1"/>
    <n v="2"/>
  </r>
  <r>
    <x v="1"/>
    <s v="Travel_Frequently"/>
    <x v="0"/>
    <s v="Current Employees"/>
    <x v="0"/>
    <x v="3"/>
    <s v="STAFF-404"/>
    <n v="404"/>
    <x v="0"/>
    <x v="0"/>
    <x v="1"/>
    <s v="No"/>
    <s v="Y"/>
    <n v="2"/>
    <n v="-2"/>
    <n v="0"/>
    <n v="42"/>
    <n v="0"/>
    <m/>
    <n v="0"/>
    <n v="1"/>
    <n v="555"/>
    <n v="26"/>
    <x v="3"/>
    <n v="1"/>
    <n v="3"/>
    <n v="77"/>
    <n v="3"/>
    <n v="4"/>
    <n v="1"/>
    <n v="13525"/>
    <n v="14864"/>
    <n v="5"/>
    <n v="14"/>
    <n v="3"/>
    <n v="4"/>
    <n v="80"/>
    <n v="1"/>
    <n v="23"/>
    <n v="4"/>
    <n v="20"/>
    <n v="4"/>
    <n v="4"/>
    <n v="8"/>
  </r>
  <r>
    <x v="0"/>
    <s v="Travel_Rarely"/>
    <x v="4"/>
    <s v="Ex-Employees"/>
    <x v="1"/>
    <x v="0"/>
    <s v="STAFF-405"/>
    <n v="405"/>
    <x v="1"/>
    <x v="2"/>
    <x v="0"/>
    <s v="No"/>
    <s v="Y"/>
    <n v="2"/>
    <n v="-2"/>
    <n v="0"/>
    <n v="18"/>
    <n v="1"/>
    <n v="1"/>
    <n v="1"/>
    <n v="0"/>
    <n v="230"/>
    <n v="3"/>
    <x v="3"/>
    <n v="1"/>
    <n v="3"/>
    <n v="54"/>
    <n v="3"/>
    <n v="1"/>
    <n v="2"/>
    <n v="1420"/>
    <n v="25233"/>
    <n v="1"/>
    <n v="13"/>
    <n v="3"/>
    <n v="3"/>
    <n v="80"/>
    <n v="0"/>
    <n v="0"/>
    <n v="3"/>
    <n v="0"/>
    <n v="0"/>
    <n v="0"/>
    <n v="0"/>
  </r>
  <r>
    <x v="1"/>
    <s v="Travel_Rarely"/>
    <x v="0"/>
    <s v="Current Employees"/>
    <x v="0"/>
    <x v="3"/>
    <s v="STAFF-406"/>
    <n v="406"/>
    <x v="1"/>
    <x v="0"/>
    <x v="1"/>
    <s v="No"/>
    <s v="Y"/>
    <n v="3"/>
    <n v="-2"/>
    <n v="0"/>
    <n v="35"/>
    <n v="0"/>
    <m/>
    <n v="0"/>
    <n v="1"/>
    <n v="1232"/>
    <n v="16"/>
    <x v="3"/>
    <n v="1"/>
    <n v="3"/>
    <n v="96"/>
    <n v="3"/>
    <n v="3"/>
    <n v="1"/>
    <n v="8020"/>
    <n v="5100"/>
    <n v="0"/>
    <n v="15"/>
    <n v="3"/>
    <n v="3"/>
    <n v="80"/>
    <n v="2"/>
    <n v="12"/>
    <n v="2"/>
    <n v="11"/>
    <n v="9"/>
    <n v="6"/>
    <n v="9"/>
  </r>
  <r>
    <x v="1"/>
    <s v="Travel_Frequently"/>
    <x v="0"/>
    <s v="Current Employees"/>
    <x v="1"/>
    <x v="0"/>
    <s v="STAFF-407"/>
    <n v="407"/>
    <x v="1"/>
    <x v="2"/>
    <x v="1"/>
    <s v="No"/>
    <s v="Y"/>
    <n v="2"/>
    <n v="-2"/>
    <n v="0"/>
    <n v="36"/>
    <n v="0"/>
    <m/>
    <n v="0"/>
    <n v="1"/>
    <n v="566"/>
    <n v="18"/>
    <x v="2"/>
    <n v="1"/>
    <n v="3"/>
    <n v="81"/>
    <n v="4"/>
    <n v="1"/>
    <n v="2"/>
    <n v="3688"/>
    <n v="7122"/>
    <n v="4"/>
    <n v="18"/>
    <n v="3"/>
    <n v="4"/>
    <n v="80"/>
    <n v="2"/>
    <n v="4"/>
    <n v="3"/>
    <n v="1"/>
    <n v="0"/>
    <n v="0"/>
    <n v="0"/>
  </r>
  <r>
    <x v="1"/>
    <s v="Travel_Rarely"/>
    <x v="1"/>
    <s v="Current Employees"/>
    <x v="1"/>
    <x v="2"/>
    <s v="STAFF-408"/>
    <n v="408"/>
    <x v="1"/>
    <x v="3"/>
    <x v="2"/>
    <s v="No"/>
    <s v="Y"/>
    <n v="3"/>
    <n v="-2"/>
    <n v="0"/>
    <n v="51"/>
    <n v="0"/>
    <m/>
    <n v="0"/>
    <n v="1"/>
    <n v="1302"/>
    <n v="2"/>
    <x v="3"/>
    <n v="1"/>
    <n v="4"/>
    <n v="84"/>
    <n v="1"/>
    <n v="2"/>
    <n v="3"/>
    <n v="5482"/>
    <n v="16321"/>
    <n v="5"/>
    <n v="18"/>
    <n v="3"/>
    <n v="4"/>
    <n v="80"/>
    <n v="1"/>
    <n v="13"/>
    <n v="3"/>
    <n v="4"/>
    <n v="1"/>
    <n v="1"/>
    <n v="2"/>
  </r>
  <r>
    <x v="1"/>
    <s v="Travel_Rarely"/>
    <x v="0"/>
    <s v="Current Employees"/>
    <x v="0"/>
    <x v="0"/>
    <s v="STAFF-410"/>
    <n v="410"/>
    <x v="1"/>
    <x v="5"/>
    <x v="0"/>
    <s v="No"/>
    <s v="Y"/>
    <n v="2"/>
    <n v="-2"/>
    <n v="0"/>
    <n v="41"/>
    <n v="0"/>
    <m/>
    <n v="0"/>
    <n v="1"/>
    <n v="334"/>
    <n v="2"/>
    <x v="2"/>
    <n v="1"/>
    <n v="4"/>
    <n v="88"/>
    <n v="3"/>
    <n v="4"/>
    <n v="2"/>
    <n v="16015"/>
    <n v="15896"/>
    <n v="1"/>
    <n v="19"/>
    <n v="3"/>
    <n v="2"/>
    <n v="80"/>
    <n v="0"/>
    <n v="22"/>
    <n v="3"/>
    <n v="22"/>
    <n v="10"/>
    <n v="0"/>
    <n v="4"/>
  </r>
  <r>
    <x v="1"/>
    <s v="Travel_Rarely"/>
    <x v="4"/>
    <s v="Current Employees"/>
    <x v="0"/>
    <x v="2"/>
    <s v="STAFF-411"/>
    <n v="411"/>
    <x v="0"/>
    <x v="6"/>
    <x v="0"/>
    <s v="No"/>
    <s v="Y"/>
    <n v="2"/>
    <n v="-2"/>
    <n v="0"/>
    <n v="18"/>
    <n v="0"/>
    <m/>
    <n v="0"/>
    <n v="1"/>
    <n v="812"/>
    <n v="10"/>
    <x v="3"/>
    <n v="1"/>
    <n v="4"/>
    <n v="69"/>
    <n v="2"/>
    <n v="1"/>
    <n v="3"/>
    <n v="1200"/>
    <n v="9724"/>
    <n v="1"/>
    <n v="12"/>
    <n v="3"/>
    <n v="1"/>
    <n v="80"/>
    <n v="0"/>
    <n v="0"/>
    <n v="3"/>
    <n v="0"/>
    <n v="0"/>
    <n v="0"/>
    <n v="0"/>
  </r>
  <r>
    <x v="1"/>
    <s v="Travel_Rarely"/>
    <x v="2"/>
    <s v="Current Employees"/>
    <x v="1"/>
    <x v="2"/>
    <s v="STAFF-412"/>
    <n v="412"/>
    <x v="1"/>
    <x v="4"/>
    <x v="0"/>
    <s v="No"/>
    <s v="Y"/>
    <n v="2"/>
    <n v="-2"/>
    <n v="0"/>
    <n v="28"/>
    <n v="0"/>
    <m/>
    <n v="0"/>
    <n v="1"/>
    <n v="1476"/>
    <n v="16"/>
    <x v="0"/>
    <n v="1"/>
    <n v="2"/>
    <n v="68"/>
    <n v="4"/>
    <n v="2"/>
    <n v="3"/>
    <n v="5661"/>
    <n v="4824"/>
    <n v="0"/>
    <n v="19"/>
    <n v="3"/>
    <n v="3"/>
    <n v="80"/>
    <n v="0"/>
    <n v="9"/>
    <n v="3"/>
    <n v="8"/>
    <n v="3"/>
    <n v="0"/>
    <n v="7"/>
  </r>
  <r>
    <x v="1"/>
    <s v="Travel_Rarely"/>
    <x v="2"/>
    <s v="Current Employees"/>
    <x v="0"/>
    <x v="4"/>
    <s v="STAFF-416"/>
    <n v="416"/>
    <x v="1"/>
    <x v="0"/>
    <x v="1"/>
    <s v="No"/>
    <s v="Y"/>
    <n v="3"/>
    <n v="-2"/>
    <n v="0"/>
    <n v="31"/>
    <n v="0"/>
    <m/>
    <n v="0"/>
    <n v="1"/>
    <n v="218"/>
    <n v="7"/>
    <x v="3"/>
    <n v="1"/>
    <n v="4"/>
    <n v="100"/>
    <n v="4"/>
    <n v="2"/>
    <n v="4"/>
    <n v="6929"/>
    <n v="12241"/>
    <n v="4"/>
    <n v="11"/>
    <n v="3"/>
    <n v="2"/>
    <n v="80"/>
    <n v="1"/>
    <n v="10"/>
    <n v="2"/>
    <n v="8"/>
    <n v="7"/>
    <n v="7"/>
    <n v="7"/>
  </r>
  <r>
    <x v="1"/>
    <s v="Travel_Rarely"/>
    <x v="0"/>
    <s v="Current Employees"/>
    <x v="1"/>
    <x v="2"/>
    <s v="STAFF-417"/>
    <n v="417"/>
    <x v="1"/>
    <x v="4"/>
    <x v="2"/>
    <s v="No"/>
    <s v="Y"/>
    <n v="5"/>
    <n v="-2"/>
    <n v="0"/>
    <n v="39"/>
    <n v="0"/>
    <m/>
    <n v="0"/>
    <n v="1"/>
    <n v="1132"/>
    <n v="1"/>
    <x v="3"/>
    <n v="1"/>
    <n v="3"/>
    <n v="48"/>
    <n v="4"/>
    <n v="3"/>
    <n v="4"/>
    <n v="9613"/>
    <n v="10942"/>
    <n v="0"/>
    <n v="17"/>
    <n v="3"/>
    <n v="1"/>
    <n v="80"/>
    <n v="3"/>
    <n v="19"/>
    <n v="2"/>
    <n v="18"/>
    <n v="10"/>
    <n v="3"/>
    <n v="7"/>
  </r>
  <r>
    <x v="1"/>
    <s v="Non-Travel"/>
    <x v="0"/>
    <s v="Current Employees"/>
    <x v="1"/>
    <x v="0"/>
    <s v="STAFF-419"/>
    <n v="419"/>
    <x v="0"/>
    <x v="2"/>
    <x v="1"/>
    <s v="No"/>
    <s v="Y"/>
    <n v="3"/>
    <n v="-2"/>
    <n v="0"/>
    <n v="36"/>
    <n v="0"/>
    <m/>
    <n v="0"/>
    <n v="1"/>
    <n v="1105"/>
    <n v="24"/>
    <x v="2"/>
    <n v="1"/>
    <n v="2"/>
    <n v="47"/>
    <n v="3"/>
    <n v="2"/>
    <n v="2"/>
    <n v="5674"/>
    <n v="6927"/>
    <n v="7"/>
    <n v="15"/>
    <n v="3"/>
    <n v="3"/>
    <n v="80"/>
    <n v="1"/>
    <n v="11"/>
    <n v="3"/>
    <n v="9"/>
    <n v="8"/>
    <n v="0"/>
    <n v="8"/>
  </r>
  <r>
    <x v="1"/>
    <s v="Travel_Rarely"/>
    <x v="2"/>
    <s v="Current Employees"/>
    <x v="0"/>
    <x v="0"/>
    <s v="STAFF-420"/>
    <n v="420"/>
    <x v="1"/>
    <x v="0"/>
    <x v="1"/>
    <s v="No"/>
    <s v="Y"/>
    <n v="3"/>
    <n v="-2"/>
    <n v="0"/>
    <n v="32"/>
    <n v="0"/>
    <m/>
    <n v="0"/>
    <n v="1"/>
    <n v="906"/>
    <n v="7"/>
    <x v="3"/>
    <n v="1"/>
    <n v="4"/>
    <n v="91"/>
    <n v="2"/>
    <n v="2"/>
    <n v="2"/>
    <n v="5484"/>
    <n v="16985"/>
    <n v="1"/>
    <n v="14"/>
    <n v="3"/>
    <n v="3"/>
    <n v="80"/>
    <n v="1"/>
    <n v="13"/>
    <n v="2"/>
    <n v="13"/>
    <n v="8"/>
    <n v="4"/>
    <n v="8"/>
  </r>
  <r>
    <x v="1"/>
    <s v="Travel_Rarely"/>
    <x v="0"/>
    <s v="Current Employees"/>
    <x v="1"/>
    <x v="0"/>
    <s v="STAFF-421"/>
    <n v="421"/>
    <x v="0"/>
    <x v="7"/>
    <x v="1"/>
    <s v="No"/>
    <s v="Y"/>
    <n v="2"/>
    <n v="-2"/>
    <n v="0"/>
    <n v="38"/>
    <n v="0"/>
    <m/>
    <n v="0"/>
    <n v="1"/>
    <n v="849"/>
    <n v="25"/>
    <x v="0"/>
    <n v="1"/>
    <n v="1"/>
    <n v="81"/>
    <n v="2"/>
    <n v="3"/>
    <n v="2"/>
    <n v="12061"/>
    <n v="26707"/>
    <n v="3"/>
    <n v="17"/>
    <n v="3"/>
    <n v="3"/>
    <n v="80"/>
    <n v="1"/>
    <n v="19"/>
    <n v="3"/>
    <n v="10"/>
    <n v="8"/>
    <n v="0"/>
    <n v="1"/>
  </r>
  <r>
    <x v="1"/>
    <s v="Non-Travel"/>
    <x v="3"/>
    <s v="Current Employees"/>
    <x v="1"/>
    <x v="0"/>
    <s v="STAFF-422"/>
    <n v="422"/>
    <x v="1"/>
    <x v="4"/>
    <x v="2"/>
    <s v="Yes"/>
    <s v="Y"/>
    <n v="2"/>
    <n v="-2"/>
    <n v="0"/>
    <n v="58"/>
    <n v="0"/>
    <m/>
    <n v="0"/>
    <n v="1"/>
    <n v="390"/>
    <n v="1"/>
    <x v="2"/>
    <n v="1"/>
    <n v="4"/>
    <n v="32"/>
    <n v="1"/>
    <n v="2"/>
    <n v="2"/>
    <n v="5660"/>
    <n v="17056"/>
    <n v="2"/>
    <n v="13"/>
    <n v="3"/>
    <n v="4"/>
    <n v="80"/>
    <n v="1"/>
    <n v="12"/>
    <n v="3"/>
    <n v="5"/>
    <n v="3"/>
    <n v="1"/>
    <n v="2"/>
  </r>
  <r>
    <x v="1"/>
    <s v="Travel_Rarely"/>
    <x v="2"/>
    <s v="Current Employees"/>
    <x v="1"/>
    <x v="4"/>
    <s v="STAFF-423"/>
    <n v="423"/>
    <x v="1"/>
    <x v="1"/>
    <x v="1"/>
    <s v="Yes"/>
    <s v="Y"/>
    <n v="4"/>
    <n v="-2"/>
    <n v="0"/>
    <n v="31"/>
    <n v="0"/>
    <m/>
    <n v="0"/>
    <n v="1"/>
    <n v="691"/>
    <n v="5"/>
    <x v="2"/>
    <n v="1"/>
    <n v="4"/>
    <n v="86"/>
    <n v="3"/>
    <n v="1"/>
    <n v="4"/>
    <n v="4821"/>
    <n v="10077"/>
    <n v="0"/>
    <n v="12"/>
    <n v="3"/>
    <n v="3"/>
    <n v="80"/>
    <n v="1"/>
    <n v="6"/>
    <n v="3"/>
    <n v="5"/>
    <n v="2"/>
    <n v="0"/>
    <n v="3"/>
  </r>
  <r>
    <x v="1"/>
    <s v="Travel_Rarely"/>
    <x v="2"/>
    <s v="Current Employees"/>
    <x v="2"/>
    <x v="5"/>
    <s v="STAFF-424"/>
    <n v="424"/>
    <x v="1"/>
    <x v="8"/>
    <x v="1"/>
    <s v="No"/>
    <s v="Y"/>
    <n v="1"/>
    <n v="-2"/>
    <n v="0"/>
    <n v="31"/>
    <n v="0"/>
    <m/>
    <n v="0"/>
    <n v="1"/>
    <n v="106"/>
    <n v="2"/>
    <x v="3"/>
    <n v="1"/>
    <n v="1"/>
    <n v="62"/>
    <n v="2"/>
    <n v="2"/>
    <n v="3"/>
    <n v="6410"/>
    <n v="17822"/>
    <n v="3"/>
    <n v="12"/>
    <n v="3"/>
    <n v="4"/>
    <n v="80"/>
    <n v="0"/>
    <n v="9"/>
    <n v="3"/>
    <n v="2"/>
    <n v="2"/>
    <n v="1"/>
    <n v="0"/>
  </r>
  <r>
    <x v="1"/>
    <s v="Travel_Frequently"/>
    <x v="1"/>
    <s v="Current Employees"/>
    <x v="1"/>
    <x v="0"/>
    <s v="STAFF-425"/>
    <n v="425"/>
    <x v="1"/>
    <x v="2"/>
    <x v="2"/>
    <s v="No"/>
    <s v="Y"/>
    <n v="2"/>
    <n v="-2"/>
    <n v="0"/>
    <n v="45"/>
    <n v="0"/>
    <m/>
    <n v="0"/>
    <n v="1"/>
    <n v="1249"/>
    <n v="7"/>
    <x v="3"/>
    <n v="1"/>
    <n v="1"/>
    <n v="97"/>
    <n v="3"/>
    <n v="3"/>
    <n v="2"/>
    <n v="5210"/>
    <n v="20308"/>
    <n v="1"/>
    <n v="18"/>
    <n v="3"/>
    <n v="1"/>
    <n v="80"/>
    <n v="1"/>
    <n v="24"/>
    <n v="3"/>
    <n v="24"/>
    <n v="9"/>
    <n v="9"/>
    <n v="11"/>
  </r>
  <r>
    <x v="1"/>
    <s v="Travel_Rarely"/>
    <x v="2"/>
    <s v="Current Employees"/>
    <x v="1"/>
    <x v="0"/>
    <s v="STAFF-426"/>
    <n v="426"/>
    <x v="1"/>
    <x v="1"/>
    <x v="2"/>
    <s v="Yes"/>
    <s v="Y"/>
    <n v="2"/>
    <n v="-2"/>
    <n v="0"/>
    <n v="31"/>
    <n v="0"/>
    <m/>
    <n v="0"/>
    <n v="1"/>
    <n v="192"/>
    <n v="2"/>
    <x v="2"/>
    <n v="1"/>
    <n v="3"/>
    <n v="32"/>
    <n v="3"/>
    <n v="1"/>
    <n v="2"/>
    <n v="2695"/>
    <n v="7747"/>
    <n v="0"/>
    <n v="18"/>
    <n v="3"/>
    <n v="2"/>
    <n v="80"/>
    <n v="1"/>
    <n v="3"/>
    <n v="1"/>
    <n v="2"/>
    <n v="2"/>
    <n v="2"/>
    <n v="2"/>
  </r>
  <r>
    <x v="1"/>
    <s v="Travel_Frequently"/>
    <x v="2"/>
    <s v="Current Employees"/>
    <x v="1"/>
    <x v="0"/>
    <s v="STAFF-428"/>
    <n v="428"/>
    <x v="0"/>
    <x v="5"/>
    <x v="1"/>
    <s v="No"/>
    <s v="Y"/>
    <n v="2"/>
    <n v="-2"/>
    <n v="0"/>
    <n v="33"/>
    <n v="0"/>
    <m/>
    <n v="0"/>
    <n v="1"/>
    <n v="553"/>
    <n v="5"/>
    <x v="2"/>
    <n v="1"/>
    <n v="4"/>
    <n v="74"/>
    <n v="3"/>
    <n v="3"/>
    <n v="2"/>
    <n v="11878"/>
    <n v="23364"/>
    <n v="6"/>
    <n v="11"/>
    <n v="3"/>
    <n v="2"/>
    <n v="80"/>
    <n v="2"/>
    <n v="12"/>
    <n v="3"/>
    <n v="10"/>
    <n v="6"/>
    <n v="8"/>
    <n v="8"/>
  </r>
  <r>
    <x v="1"/>
    <s v="Travel_Rarely"/>
    <x v="0"/>
    <s v="Current Employees"/>
    <x v="1"/>
    <x v="2"/>
    <s v="STAFF-429"/>
    <n v="429"/>
    <x v="1"/>
    <x v="5"/>
    <x v="1"/>
    <s v="Yes"/>
    <s v="Y"/>
    <n v="3"/>
    <n v="-2"/>
    <n v="0"/>
    <n v="39"/>
    <n v="0"/>
    <m/>
    <n v="0"/>
    <n v="1"/>
    <n v="117"/>
    <n v="10"/>
    <x v="1"/>
    <n v="1"/>
    <n v="3"/>
    <n v="99"/>
    <n v="3"/>
    <n v="4"/>
    <n v="3"/>
    <n v="17068"/>
    <n v="5355"/>
    <n v="1"/>
    <n v="14"/>
    <n v="3"/>
    <n v="4"/>
    <n v="80"/>
    <n v="0"/>
    <n v="21"/>
    <n v="3"/>
    <n v="21"/>
    <n v="9"/>
    <n v="11"/>
    <n v="10"/>
  </r>
  <r>
    <x v="1"/>
    <s v="Travel_Frequently"/>
    <x v="0"/>
    <s v="Current Employees"/>
    <x v="1"/>
    <x v="0"/>
    <s v="STAFF-430"/>
    <n v="430"/>
    <x v="0"/>
    <x v="2"/>
    <x v="0"/>
    <s v="No"/>
    <s v="Y"/>
    <n v="5"/>
    <n v="-2"/>
    <n v="0"/>
    <n v="43"/>
    <n v="0"/>
    <m/>
    <n v="0"/>
    <n v="1"/>
    <n v="185"/>
    <n v="10"/>
    <x v="2"/>
    <n v="1"/>
    <n v="3"/>
    <n v="33"/>
    <n v="3"/>
    <n v="1"/>
    <n v="2"/>
    <n v="2455"/>
    <n v="10675"/>
    <n v="0"/>
    <n v="19"/>
    <n v="3"/>
    <n v="1"/>
    <n v="80"/>
    <n v="0"/>
    <n v="9"/>
    <n v="3"/>
    <n v="8"/>
    <n v="7"/>
    <n v="1"/>
    <n v="7"/>
  </r>
  <r>
    <x v="1"/>
    <s v="Travel_Rarely"/>
    <x v="1"/>
    <s v="Current Employees"/>
    <x v="1"/>
    <x v="4"/>
    <s v="STAFF-431"/>
    <n v="431"/>
    <x v="0"/>
    <x v="4"/>
    <x v="0"/>
    <s v="Yes"/>
    <s v="Y"/>
    <n v="2"/>
    <n v="-2"/>
    <n v="0"/>
    <n v="49"/>
    <n v="0"/>
    <m/>
    <n v="0"/>
    <n v="1"/>
    <n v="1091"/>
    <n v="1"/>
    <x v="0"/>
    <n v="1"/>
    <n v="4"/>
    <n v="90"/>
    <n v="2"/>
    <n v="4"/>
    <n v="4"/>
    <n v="13964"/>
    <n v="17810"/>
    <n v="7"/>
    <n v="12"/>
    <n v="3"/>
    <n v="4"/>
    <n v="80"/>
    <n v="0"/>
    <n v="25"/>
    <n v="3"/>
    <n v="7"/>
    <n v="1"/>
    <n v="0"/>
    <n v="7"/>
  </r>
  <r>
    <x v="0"/>
    <s v="Travel_Rarely"/>
    <x v="1"/>
    <s v="Ex-Employees"/>
    <x v="1"/>
    <x v="2"/>
    <s v="STAFF-433"/>
    <n v="433"/>
    <x v="1"/>
    <x v="1"/>
    <x v="1"/>
    <s v="No"/>
    <s v="Y"/>
    <n v="3"/>
    <n v="-2"/>
    <n v="0"/>
    <n v="52"/>
    <n v="1"/>
    <n v="1"/>
    <n v="1"/>
    <n v="0"/>
    <n v="723"/>
    <n v="8"/>
    <x v="2"/>
    <n v="1"/>
    <n v="3"/>
    <n v="85"/>
    <n v="2"/>
    <n v="2"/>
    <n v="3"/>
    <n v="4941"/>
    <n v="17747"/>
    <n v="2"/>
    <n v="15"/>
    <n v="3"/>
    <n v="1"/>
    <n v="80"/>
    <n v="0"/>
    <n v="11"/>
    <n v="2"/>
    <n v="8"/>
    <n v="2"/>
    <n v="7"/>
    <n v="7"/>
  </r>
  <r>
    <x v="1"/>
    <s v="Travel_Rarely"/>
    <x v="2"/>
    <s v="Current Employees"/>
    <x v="1"/>
    <x v="0"/>
    <s v="STAFF-434"/>
    <n v="434"/>
    <x v="0"/>
    <x v="1"/>
    <x v="0"/>
    <s v="Yes"/>
    <s v="Y"/>
    <n v="2"/>
    <n v="-2"/>
    <n v="0"/>
    <n v="27"/>
    <n v="0"/>
    <m/>
    <n v="0"/>
    <n v="1"/>
    <n v="1220"/>
    <n v="5"/>
    <x v="3"/>
    <n v="1"/>
    <n v="3"/>
    <n v="85"/>
    <n v="3"/>
    <n v="1"/>
    <n v="2"/>
    <n v="2478"/>
    <n v="20938"/>
    <n v="1"/>
    <n v="12"/>
    <n v="3"/>
    <n v="2"/>
    <n v="80"/>
    <n v="0"/>
    <n v="4"/>
    <n v="2"/>
    <n v="4"/>
    <n v="3"/>
    <n v="1"/>
    <n v="2"/>
  </r>
  <r>
    <x v="1"/>
    <s v="Travel_Rarely"/>
    <x v="2"/>
    <s v="Current Employees"/>
    <x v="0"/>
    <x v="4"/>
    <s v="STAFF-436"/>
    <n v="436"/>
    <x v="0"/>
    <x v="0"/>
    <x v="1"/>
    <s v="Yes"/>
    <s v="Y"/>
    <n v="2"/>
    <n v="-2"/>
    <n v="0"/>
    <n v="32"/>
    <n v="0"/>
    <m/>
    <n v="0"/>
    <n v="1"/>
    <n v="588"/>
    <n v="8"/>
    <x v="0"/>
    <n v="1"/>
    <n v="4"/>
    <n v="65"/>
    <n v="2"/>
    <n v="2"/>
    <n v="4"/>
    <n v="5228"/>
    <n v="24624"/>
    <n v="1"/>
    <n v="11"/>
    <n v="3"/>
    <n v="4"/>
    <n v="80"/>
    <n v="0"/>
    <n v="13"/>
    <n v="3"/>
    <n v="13"/>
    <n v="12"/>
    <n v="11"/>
    <n v="9"/>
  </r>
  <r>
    <x v="1"/>
    <s v="Travel_Rarely"/>
    <x v="2"/>
    <s v="Current Employees"/>
    <x v="0"/>
    <x v="0"/>
    <s v="STAFF-437"/>
    <n v="437"/>
    <x v="1"/>
    <x v="0"/>
    <x v="0"/>
    <s v="Yes"/>
    <s v="Y"/>
    <n v="3"/>
    <n v="-2"/>
    <n v="0"/>
    <n v="27"/>
    <n v="0"/>
    <m/>
    <n v="0"/>
    <n v="1"/>
    <n v="1377"/>
    <n v="2"/>
    <x v="3"/>
    <n v="1"/>
    <n v="4"/>
    <n v="74"/>
    <n v="3"/>
    <n v="2"/>
    <n v="2"/>
    <n v="4478"/>
    <n v="5242"/>
    <n v="1"/>
    <n v="11"/>
    <n v="3"/>
    <n v="1"/>
    <n v="80"/>
    <n v="0"/>
    <n v="5"/>
    <n v="3"/>
    <n v="5"/>
    <n v="4"/>
    <n v="0"/>
    <n v="4"/>
  </r>
  <r>
    <x v="1"/>
    <s v="Travel_Rarely"/>
    <x v="2"/>
    <s v="Current Employees"/>
    <x v="0"/>
    <x v="3"/>
    <s v="STAFF-438"/>
    <n v="438"/>
    <x v="1"/>
    <x v="0"/>
    <x v="2"/>
    <s v="No"/>
    <s v="Y"/>
    <n v="3"/>
    <n v="-2"/>
    <n v="0"/>
    <n v="31"/>
    <n v="0"/>
    <m/>
    <n v="0"/>
    <n v="1"/>
    <n v="691"/>
    <n v="7"/>
    <x v="3"/>
    <n v="1"/>
    <n v="4"/>
    <n v="73"/>
    <n v="3"/>
    <n v="2"/>
    <n v="1"/>
    <n v="7547"/>
    <n v="7143"/>
    <n v="4"/>
    <n v="12"/>
    <n v="3"/>
    <n v="4"/>
    <n v="80"/>
    <n v="3"/>
    <n v="13"/>
    <n v="3"/>
    <n v="7"/>
    <n v="7"/>
    <n v="1"/>
    <n v="7"/>
  </r>
  <r>
    <x v="1"/>
    <s v="Travel_Rarely"/>
    <x v="2"/>
    <s v="Current Employees"/>
    <x v="1"/>
    <x v="2"/>
    <s v="STAFF-439"/>
    <n v="439"/>
    <x v="0"/>
    <x v="1"/>
    <x v="0"/>
    <s v="No"/>
    <s v="Y"/>
    <n v="0"/>
    <n v="-2"/>
    <n v="0"/>
    <n v="32"/>
    <n v="0"/>
    <m/>
    <n v="0"/>
    <n v="1"/>
    <n v="1018"/>
    <n v="2"/>
    <x v="2"/>
    <n v="1"/>
    <n v="1"/>
    <n v="74"/>
    <n v="4"/>
    <n v="2"/>
    <n v="4"/>
    <n v="5055"/>
    <n v="10557"/>
    <n v="7"/>
    <n v="16"/>
    <n v="3"/>
    <n v="3"/>
    <n v="80"/>
    <n v="0"/>
    <n v="10"/>
    <n v="2"/>
    <n v="7"/>
    <n v="7"/>
    <n v="0"/>
    <n v="7"/>
  </r>
  <r>
    <x v="0"/>
    <s v="Travel_Rarely"/>
    <x v="2"/>
    <s v="Ex-Employees"/>
    <x v="1"/>
    <x v="2"/>
    <s v="STAFF-440"/>
    <n v="440"/>
    <x v="1"/>
    <x v="1"/>
    <x v="1"/>
    <s v="Yes"/>
    <s v="Y"/>
    <n v="4"/>
    <n v="-2"/>
    <n v="0"/>
    <n v="28"/>
    <n v="1"/>
    <n v="1"/>
    <n v="1"/>
    <n v="0"/>
    <n v="1157"/>
    <n v="2"/>
    <x v="2"/>
    <n v="1"/>
    <n v="1"/>
    <n v="84"/>
    <n v="1"/>
    <n v="1"/>
    <n v="4"/>
    <n v="3464"/>
    <n v="24737"/>
    <n v="5"/>
    <n v="13"/>
    <n v="3"/>
    <n v="4"/>
    <n v="80"/>
    <n v="0"/>
    <n v="5"/>
    <n v="2"/>
    <n v="3"/>
    <n v="2"/>
    <n v="2"/>
    <n v="2"/>
  </r>
  <r>
    <x v="1"/>
    <s v="Travel_Rarely"/>
    <x v="2"/>
    <s v="Current Employees"/>
    <x v="1"/>
    <x v="2"/>
    <s v="STAFF-441"/>
    <n v="441"/>
    <x v="0"/>
    <x v="1"/>
    <x v="1"/>
    <s v="No"/>
    <s v="Y"/>
    <n v="2"/>
    <n v="-2"/>
    <n v="0"/>
    <n v="30"/>
    <n v="0"/>
    <m/>
    <n v="0"/>
    <n v="1"/>
    <n v="1275"/>
    <n v="28"/>
    <x v="0"/>
    <n v="1"/>
    <n v="4"/>
    <n v="64"/>
    <n v="3"/>
    <n v="2"/>
    <n v="4"/>
    <n v="5775"/>
    <n v="11934"/>
    <n v="1"/>
    <n v="13"/>
    <n v="3"/>
    <n v="4"/>
    <n v="80"/>
    <n v="2"/>
    <n v="11"/>
    <n v="3"/>
    <n v="10"/>
    <n v="8"/>
    <n v="1"/>
    <n v="9"/>
  </r>
  <r>
    <x v="1"/>
    <s v="Travel_Frequently"/>
    <x v="2"/>
    <s v="Current Employees"/>
    <x v="1"/>
    <x v="0"/>
    <s v="STAFF-442"/>
    <n v="442"/>
    <x v="0"/>
    <x v="3"/>
    <x v="1"/>
    <s v="No"/>
    <s v="Y"/>
    <n v="2"/>
    <n v="-2"/>
    <n v="0"/>
    <n v="31"/>
    <n v="0"/>
    <m/>
    <n v="0"/>
    <n v="1"/>
    <n v="798"/>
    <n v="7"/>
    <x v="0"/>
    <n v="1"/>
    <n v="3"/>
    <n v="48"/>
    <n v="2"/>
    <n v="3"/>
    <n v="2"/>
    <n v="8943"/>
    <n v="14034"/>
    <n v="1"/>
    <n v="24"/>
    <n v="4"/>
    <n v="1"/>
    <n v="80"/>
    <n v="1"/>
    <n v="10"/>
    <n v="3"/>
    <n v="10"/>
    <n v="9"/>
    <n v="8"/>
    <n v="9"/>
  </r>
  <r>
    <x v="1"/>
    <s v="Travel_Frequently"/>
    <x v="0"/>
    <s v="Current Employees"/>
    <x v="1"/>
    <x v="2"/>
    <s v="STAFF-444"/>
    <n v="444"/>
    <x v="1"/>
    <x v="5"/>
    <x v="1"/>
    <s v="No"/>
    <s v="Y"/>
    <n v="2"/>
    <n v="-2"/>
    <n v="0"/>
    <n v="39"/>
    <n v="0"/>
    <m/>
    <n v="0"/>
    <n v="1"/>
    <n v="672"/>
    <n v="7"/>
    <x v="0"/>
    <n v="1"/>
    <n v="3"/>
    <n v="54"/>
    <n v="2"/>
    <n v="5"/>
    <n v="4"/>
    <n v="19272"/>
    <n v="21141"/>
    <n v="1"/>
    <n v="15"/>
    <n v="3"/>
    <n v="1"/>
    <n v="80"/>
    <n v="1"/>
    <n v="21"/>
    <n v="3"/>
    <n v="21"/>
    <n v="9"/>
    <n v="13"/>
    <n v="3"/>
  </r>
  <r>
    <x v="0"/>
    <s v="Travel_Rarely"/>
    <x v="0"/>
    <s v="Ex-Employees"/>
    <x v="0"/>
    <x v="2"/>
    <s v="STAFF-445"/>
    <n v="445"/>
    <x v="0"/>
    <x v="0"/>
    <x v="1"/>
    <s v="Yes"/>
    <s v="Y"/>
    <n v="3"/>
    <n v="-2"/>
    <n v="0"/>
    <n v="39"/>
    <n v="1"/>
    <n v="1"/>
    <n v="1"/>
    <n v="0"/>
    <n v="1162"/>
    <n v="3"/>
    <x v="0"/>
    <n v="1"/>
    <n v="4"/>
    <n v="41"/>
    <n v="3"/>
    <n v="2"/>
    <n v="3"/>
    <n v="5238"/>
    <n v="17778"/>
    <n v="4"/>
    <n v="18"/>
    <n v="3"/>
    <n v="1"/>
    <n v="80"/>
    <n v="0"/>
    <n v="12"/>
    <n v="2"/>
    <n v="1"/>
    <n v="0"/>
    <n v="0"/>
    <n v="0"/>
  </r>
  <r>
    <x v="1"/>
    <s v="Travel_Frequently"/>
    <x v="2"/>
    <s v="Current Employees"/>
    <x v="0"/>
    <x v="3"/>
    <s v="STAFF-446"/>
    <n v="446"/>
    <x v="1"/>
    <x v="0"/>
    <x v="0"/>
    <s v="No"/>
    <s v="Y"/>
    <n v="6"/>
    <n v="-2"/>
    <n v="0"/>
    <n v="33"/>
    <n v="0"/>
    <m/>
    <n v="0"/>
    <n v="1"/>
    <n v="508"/>
    <n v="10"/>
    <x v="3"/>
    <n v="1"/>
    <n v="2"/>
    <n v="46"/>
    <n v="2"/>
    <n v="2"/>
    <n v="1"/>
    <n v="4682"/>
    <n v="4317"/>
    <n v="3"/>
    <n v="14"/>
    <n v="3"/>
    <n v="3"/>
    <n v="80"/>
    <n v="0"/>
    <n v="9"/>
    <n v="2"/>
    <n v="7"/>
    <n v="7"/>
    <n v="0"/>
    <n v="1"/>
  </r>
  <r>
    <x v="1"/>
    <s v="Travel_Rarely"/>
    <x v="1"/>
    <s v="Current Employees"/>
    <x v="1"/>
    <x v="0"/>
    <s v="STAFF-447"/>
    <n v="447"/>
    <x v="1"/>
    <x v="7"/>
    <x v="1"/>
    <s v="No"/>
    <s v="Y"/>
    <n v="2"/>
    <n v="-2"/>
    <n v="0"/>
    <n v="47"/>
    <n v="0"/>
    <m/>
    <n v="0"/>
    <n v="1"/>
    <n v="1482"/>
    <n v="5"/>
    <x v="4"/>
    <n v="1"/>
    <n v="4"/>
    <n v="42"/>
    <n v="3"/>
    <n v="5"/>
    <n v="2"/>
    <n v="18300"/>
    <n v="16375"/>
    <n v="4"/>
    <n v="11"/>
    <n v="3"/>
    <n v="2"/>
    <n v="80"/>
    <n v="1"/>
    <n v="21"/>
    <n v="3"/>
    <n v="3"/>
    <n v="2"/>
    <n v="1"/>
    <n v="1"/>
  </r>
  <r>
    <x v="1"/>
    <s v="Travel_Frequently"/>
    <x v="0"/>
    <s v="Current Employees"/>
    <x v="1"/>
    <x v="0"/>
    <s v="STAFF-448"/>
    <n v="448"/>
    <x v="0"/>
    <x v="2"/>
    <x v="2"/>
    <s v="No"/>
    <s v="Y"/>
    <n v="3"/>
    <n v="-2"/>
    <n v="0"/>
    <n v="43"/>
    <n v="0"/>
    <m/>
    <n v="0"/>
    <n v="1"/>
    <n v="559"/>
    <n v="10"/>
    <x v="2"/>
    <n v="1"/>
    <n v="3"/>
    <n v="82"/>
    <n v="2"/>
    <n v="2"/>
    <n v="2"/>
    <n v="5257"/>
    <n v="6227"/>
    <n v="1"/>
    <n v="11"/>
    <n v="3"/>
    <n v="2"/>
    <n v="80"/>
    <n v="1"/>
    <n v="9"/>
    <n v="4"/>
    <n v="9"/>
    <n v="7"/>
    <n v="0"/>
    <n v="0"/>
  </r>
  <r>
    <x v="1"/>
    <s v="Non-Travel"/>
    <x v="2"/>
    <s v="Current Employees"/>
    <x v="0"/>
    <x v="3"/>
    <s v="STAFF-449"/>
    <n v="449"/>
    <x v="1"/>
    <x v="0"/>
    <x v="1"/>
    <s v="Yes"/>
    <s v="Y"/>
    <n v="0"/>
    <n v="-2"/>
    <n v="0"/>
    <n v="27"/>
    <n v="0"/>
    <m/>
    <n v="0"/>
    <n v="1"/>
    <n v="210"/>
    <n v="1"/>
    <x v="1"/>
    <n v="1"/>
    <n v="3"/>
    <n v="73"/>
    <n v="3"/>
    <n v="2"/>
    <n v="1"/>
    <n v="6349"/>
    <n v="22107"/>
    <n v="0"/>
    <n v="13"/>
    <n v="3"/>
    <n v="4"/>
    <n v="80"/>
    <n v="1"/>
    <n v="6"/>
    <n v="3"/>
    <n v="5"/>
    <n v="4"/>
    <n v="1"/>
    <n v="4"/>
  </r>
  <r>
    <x v="1"/>
    <s v="Travel_Frequently"/>
    <x v="1"/>
    <s v="Current Employees"/>
    <x v="1"/>
    <x v="0"/>
    <s v="STAFF-450"/>
    <n v="450"/>
    <x v="0"/>
    <x v="1"/>
    <x v="0"/>
    <s v="No"/>
    <s v="Y"/>
    <n v="4"/>
    <n v="-2"/>
    <n v="0"/>
    <n v="54"/>
    <n v="0"/>
    <m/>
    <n v="0"/>
    <n v="1"/>
    <n v="928"/>
    <n v="20"/>
    <x v="2"/>
    <n v="1"/>
    <n v="4"/>
    <n v="31"/>
    <n v="3"/>
    <n v="2"/>
    <n v="2"/>
    <n v="4869"/>
    <n v="16885"/>
    <n v="3"/>
    <n v="12"/>
    <n v="3"/>
    <n v="4"/>
    <n v="80"/>
    <n v="0"/>
    <n v="20"/>
    <n v="2"/>
    <n v="4"/>
    <n v="3"/>
    <n v="0"/>
    <n v="3"/>
  </r>
  <r>
    <x v="1"/>
    <s v="Travel_Rarely"/>
    <x v="0"/>
    <s v="Current Employees"/>
    <x v="1"/>
    <x v="0"/>
    <s v="STAFF-451"/>
    <n v="451"/>
    <x v="0"/>
    <x v="4"/>
    <x v="1"/>
    <s v="No"/>
    <s v="Y"/>
    <n v="1"/>
    <n v="-2"/>
    <n v="0"/>
    <n v="43"/>
    <n v="0"/>
    <m/>
    <n v="0"/>
    <n v="1"/>
    <n v="1001"/>
    <n v="7"/>
    <x v="3"/>
    <n v="1"/>
    <n v="3"/>
    <n v="43"/>
    <n v="3"/>
    <n v="3"/>
    <n v="2"/>
    <n v="9985"/>
    <n v="9262"/>
    <n v="8"/>
    <n v="16"/>
    <n v="3"/>
    <n v="1"/>
    <n v="80"/>
    <n v="1"/>
    <n v="10"/>
    <n v="2"/>
    <n v="1"/>
    <n v="0"/>
    <n v="0"/>
    <n v="0"/>
  </r>
  <r>
    <x v="1"/>
    <s v="Travel_Rarely"/>
    <x v="1"/>
    <s v="Current Employees"/>
    <x v="1"/>
    <x v="1"/>
    <s v="STAFF-452"/>
    <n v="452"/>
    <x v="1"/>
    <x v="1"/>
    <x v="1"/>
    <s v="No"/>
    <s v="Y"/>
    <n v="3"/>
    <n v="-2"/>
    <n v="0"/>
    <n v="45"/>
    <n v="0"/>
    <m/>
    <n v="0"/>
    <n v="1"/>
    <n v="549"/>
    <n v="8"/>
    <x v="2"/>
    <n v="1"/>
    <n v="4"/>
    <n v="75"/>
    <n v="3"/>
    <n v="2"/>
    <n v="4"/>
    <n v="3697"/>
    <n v="9278"/>
    <n v="9"/>
    <n v="14"/>
    <n v="3"/>
    <n v="1"/>
    <n v="80"/>
    <n v="2"/>
    <n v="12"/>
    <n v="3"/>
    <n v="10"/>
    <n v="9"/>
    <n v="9"/>
    <n v="8"/>
  </r>
  <r>
    <x v="1"/>
    <s v="Travel_Rarely"/>
    <x v="0"/>
    <s v="Current Employees"/>
    <x v="0"/>
    <x v="2"/>
    <s v="STAFF-453"/>
    <n v="453"/>
    <x v="1"/>
    <x v="0"/>
    <x v="1"/>
    <s v="Yes"/>
    <s v="Y"/>
    <n v="2"/>
    <n v="-2"/>
    <n v="0"/>
    <n v="40"/>
    <n v="0"/>
    <m/>
    <n v="0"/>
    <n v="1"/>
    <n v="1124"/>
    <n v="1"/>
    <x v="0"/>
    <n v="1"/>
    <n v="2"/>
    <n v="57"/>
    <n v="1"/>
    <n v="2"/>
    <n v="4"/>
    <n v="7457"/>
    <n v="13273"/>
    <n v="2"/>
    <n v="22"/>
    <n v="4"/>
    <n v="3"/>
    <n v="80"/>
    <n v="3"/>
    <n v="6"/>
    <n v="2"/>
    <n v="4"/>
    <n v="3"/>
    <n v="0"/>
    <n v="2"/>
  </r>
  <r>
    <x v="0"/>
    <s v="Travel_Rarely"/>
    <x v="2"/>
    <s v="Ex-Employees"/>
    <x v="1"/>
    <x v="1"/>
    <s v="STAFF-454"/>
    <n v="454"/>
    <x v="1"/>
    <x v="2"/>
    <x v="1"/>
    <s v="Yes"/>
    <s v="Y"/>
    <n v="4"/>
    <n v="-2"/>
    <n v="0"/>
    <n v="29"/>
    <n v="1"/>
    <n v="1"/>
    <n v="1"/>
    <n v="0"/>
    <n v="318"/>
    <n v="8"/>
    <x v="2"/>
    <n v="1"/>
    <n v="2"/>
    <n v="77"/>
    <n v="1"/>
    <n v="1"/>
    <n v="3"/>
    <n v="2119"/>
    <n v="4759"/>
    <n v="1"/>
    <n v="11"/>
    <n v="3"/>
    <n v="4"/>
    <n v="80"/>
    <n v="0"/>
    <n v="7"/>
    <n v="2"/>
    <n v="7"/>
    <n v="7"/>
    <n v="0"/>
    <n v="7"/>
  </r>
  <r>
    <x v="1"/>
    <s v="Travel_Rarely"/>
    <x v="2"/>
    <s v="Current Employees"/>
    <x v="1"/>
    <x v="1"/>
    <s v="STAFF-455"/>
    <n v="455"/>
    <x v="1"/>
    <x v="2"/>
    <x v="0"/>
    <s v="No"/>
    <s v="Y"/>
    <n v="2"/>
    <n v="-2"/>
    <n v="0"/>
    <n v="29"/>
    <n v="0"/>
    <m/>
    <n v="0"/>
    <n v="1"/>
    <n v="738"/>
    <n v="9"/>
    <x v="4"/>
    <n v="1"/>
    <n v="2"/>
    <n v="30"/>
    <n v="2"/>
    <n v="1"/>
    <n v="4"/>
    <n v="3983"/>
    <n v="7621"/>
    <n v="0"/>
    <n v="17"/>
    <n v="3"/>
    <n v="3"/>
    <n v="80"/>
    <n v="0"/>
    <n v="4"/>
    <n v="3"/>
    <n v="3"/>
    <n v="2"/>
    <n v="2"/>
    <n v="2"/>
  </r>
  <r>
    <x v="1"/>
    <s v="Travel_Rarely"/>
    <x v="2"/>
    <s v="Current Employees"/>
    <x v="0"/>
    <x v="3"/>
    <s v="STAFF-456"/>
    <n v="456"/>
    <x v="0"/>
    <x v="0"/>
    <x v="2"/>
    <s v="No"/>
    <s v="Y"/>
    <n v="2"/>
    <n v="-2"/>
    <n v="0"/>
    <n v="30"/>
    <n v="0"/>
    <m/>
    <n v="0"/>
    <n v="1"/>
    <n v="570"/>
    <n v="5"/>
    <x v="3"/>
    <n v="1"/>
    <n v="4"/>
    <n v="30"/>
    <n v="2"/>
    <n v="2"/>
    <n v="1"/>
    <n v="6118"/>
    <n v="5431"/>
    <n v="1"/>
    <n v="13"/>
    <n v="3"/>
    <n v="3"/>
    <n v="80"/>
    <n v="3"/>
    <n v="10"/>
    <n v="3"/>
    <n v="10"/>
    <n v="9"/>
    <n v="1"/>
    <n v="2"/>
  </r>
  <r>
    <x v="1"/>
    <s v="Travel_Rarely"/>
    <x v="2"/>
    <s v="Current Employees"/>
    <x v="0"/>
    <x v="3"/>
    <s v="STAFF-458"/>
    <n v="458"/>
    <x v="0"/>
    <x v="0"/>
    <x v="1"/>
    <s v="No"/>
    <s v="Y"/>
    <n v="3"/>
    <n v="-2"/>
    <n v="0"/>
    <n v="27"/>
    <n v="0"/>
    <m/>
    <n v="0"/>
    <n v="1"/>
    <n v="1130"/>
    <n v="8"/>
    <x v="2"/>
    <n v="1"/>
    <n v="2"/>
    <n v="56"/>
    <n v="3"/>
    <n v="2"/>
    <n v="1"/>
    <n v="6214"/>
    <n v="3415"/>
    <n v="1"/>
    <n v="18"/>
    <n v="3"/>
    <n v="1"/>
    <n v="80"/>
    <n v="1"/>
    <n v="8"/>
    <n v="3"/>
    <n v="8"/>
    <n v="7"/>
    <n v="0"/>
    <n v="7"/>
  </r>
  <r>
    <x v="1"/>
    <s v="Travel_Rarely"/>
    <x v="0"/>
    <s v="Current Employees"/>
    <x v="1"/>
    <x v="2"/>
    <s v="STAFF-460"/>
    <n v="460"/>
    <x v="1"/>
    <x v="3"/>
    <x v="2"/>
    <s v="No"/>
    <s v="Y"/>
    <n v="2"/>
    <n v="-2"/>
    <n v="0"/>
    <n v="37"/>
    <n v="0"/>
    <m/>
    <n v="0"/>
    <n v="1"/>
    <n v="1192"/>
    <n v="5"/>
    <x v="0"/>
    <n v="1"/>
    <n v="4"/>
    <n v="61"/>
    <n v="3"/>
    <n v="2"/>
    <n v="4"/>
    <n v="6347"/>
    <n v="23177"/>
    <n v="7"/>
    <n v="16"/>
    <n v="3"/>
    <n v="3"/>
    <n v="80"/>
    <n v="2"/>
    <n v="8"/>
    <n v="2"/>
    <n v="6"/>
    <n v="2"/>
    <n v="0"/>
    <n v="4"/>
  </r>
  <r>
    <x v="1"/>
    <s v="Travel_Rarely"/>
    <x v="0"/>
    <s v="Current Employees"/>
    <x v="1"/>
    <x v="0"/>
    <s v="STAFF-461"/>
    <n v="461"/>
    <x v="1"/>
    <x v="7"/>
    <x v="2"/>
    <s v="Yes"/>
    <s v="Y"/>
    <n v="3"/>
    <n v="-2"/>
    <n v="0"/>
    <n v="38"/>
    <n v="0"/>
    <m/>
    <n v="0"/>
    <n v="1"/>
    <n v="343"/>
    <n v="15"/>
    <x v="0"/>
    <n v="1"/>
    <n v="3"/>
    <n v="92"/>
    <n v="2"/>
    <n v="3"/>
    <n v="2"/>
    <n v="11510"/>
    <n v="15682"/>
    <n v="0"/>
    <n v="14"/>
    <n v="3"/>
    <n v="2"/>
    <n v="80"/>
    <n v="1"/>
    <n v="12"/>
    <n v="3"/>
    <n v="11"/>
    <n v="10"/>
    <n v="2"/>
    <n v="9"/>
  </r>
  <r>
    <x v="1"/>
    <s v="Travel_Rarely"/>
    <x v="2"/>
    <s v="Current Employees"/>
    <x v="1"/>
    <x v="2"/>
    <s v="STAFF-462"/>
    <n v="462"/>
    <x v="0"/>
    <x v="3"/>
    <x v="0"/>
    <s v="Yes"/>
    <s v="Y"/>
    <n v="2"/>
    <n v="-2"/>
    <n v="0"/>
    <n v="31"/>
    <n v="0"/>
    <m/>
    <n v="0"/>
    <n v="1"/>
    <n v="1232"/>
    <n v="7"/>
    <x v="2"/>
    <n v="1"/>
    <n v="3"/>
    <n v="39"/>
    <n v="3"/>
    <n v="3"/>
    <n v="4"/>
    <n v="7143"/>
    <n v="25713"/>
    <n v="1"/>
    <n v="14"/>
    <n v="3"/>
    <n v="3"/>
    <n v="80"/>
    <n v="0"/>
    <n v="11"/>
    <n v="2"/>
    <n v="11"/>
    <n v="9"/>
    <n v="4"/>
    <n v="10"/>
  </r>
  <r>
    <x v="1"/>
    <s v="Travel_Rarely"/>
    <x v="2"/>
    <s v="Current Employees"/>
    <x v="0"/>
    <x v="3"/>
    <s v="STAFF-463"/>
    <n v="463"/>
    <x v="0"/>
    <x v="0"/>
    <x v="2"/>
    <s v="Yes"/>
    <s v="Y"/>
    <n v="2"/>
    <n v="-2"/>
    <n v="0"/>
    <n v="29"/>
    <n v="0"/>
    <m/>
    <n v="0"/>
    <n v="1"/>
    <n v="144"/>
    <n v="10"/>
    <x v="1"/>
    <n v="1"/>
    <n v="4"/>
    <n v="39"/>
    <n v="2"/>
    <n v="2"/>
    <n v="1"/>
    <n v="8268"/>
    <n v="11866"/>
    <n v="1"/>
    <n v="14"/>
    <n v="3"/>
    <n v="1"/>
    <n v="80"/>
    <n v="2"/>
    <n v="7"/>
    <n v="3"/>
    <n v="7"/>
    <n v="7"/>
    <n v="1"/>
    <n v="7"/>
  </r>
  <r>
    <x v="1"/>
    <s v="Travel_Rarely"/>
    <x v="0"/>
    <s v="Current Employees"/>
    <x v="1"/>
    <x v="4"/>
    <s v="STAFF-464"/>
    <n v="464"/>
    <x v="1"/>
    <x v="3"/>
    <x v="0"/>
    <s v="No"/>
    <s v="Y"/>
    <n v="5"/>
    <n v="-2"/>
    <n v="0"/>
    <n v="35"/>
    <n v="0"/>
    <m/>
    <n v="0"/>
    <n v="1"/>
    <n v="1296"/>
    <n v="5"/>
    <x v="2"/>
    <n v="1"/>
    <n v="4"/>
    <n v="62"/>
    <n v="3"/>
    <n v="3"/>
    <n v="4"/>
    <n v="8095"/>
    <n v="18264"/>
    <n v="0"/>
    <n v="13"/>
    <n v="3"/>
    <n v="4"/>
    <n v="80"/>
    <n v="0"/>
    <n v="17"/>
    <n v="3"/>
    <n v="16"/>
    <n v="6"/>
    <n v="0"/>
    <n v="13"/>
  </r>
  <r>
    <x v="1"/>
    <s v="Travel_Rarely"/>
    <x v="4"/>
    <s v="Current Employees"/>
    <x v="1"/>
    <x v="0"/>
    <s v="STAFF-465"/>
    <n v="465"/>
    <x v="1"/>
    <x v="1"/>
    <x v="2"/>
    <s v="No"/>
    <s v="Y"/>
    <n v="2"/>
    <n v="-2"/>
    <n v="0"/>
    <n v="23"/>
    <n v="0"/>
    <m/>
    <n v="0"/>
    <n v="1"/>
    <n v="1309"/>
    <n v="26"/>
    <x v="1"/>
    <n v="1"/>
    <n v="3"/>
    <n v="83"/>
    <n v="3"/>
    <n v="1"/>
    <n v="2"/>
    <n v="2904"/>
    <n v="16092"/>
    <n v="1"/>
    <n v="12"/>
    <n v="3"/>
    <n v="3"/>
    <n v="80"/>
    <n v="2"/>
    <n v="4"/>
    <n v="2"/>
    <n v="4"/>
    <n v="2"/>
    <n v="0"/>
    <n v="2"/>
  </r>
  <r>
    <x v="1"/>
    <s v="Travel_Rarely"/>
    <x v="0"/>
    <s v="Current Employees"/>
    <x v="1"/>
    <x v="2"/>
    <s v="STAFF-466"/>
    <n v="466"/>
    <x v="1"/>
    <x v="3"/>
    <x v="0"/>
    <s v="Yes"/>
    <s v="Y"/>
    <n v="3"/>
    <n v="-2"/>
    <n v="0"/>
    <n v="41"/>
    <n v="0"/>
    <m/>
    <n v="0"/>
    <n v="1"/>
    <n v="483"/>
    <n v="6"/>
    <x v="3"/>
    <n v="1"/>
    <n v="4"/>
    <n v="95"/>
    <n v="2"/>
    <n v="2"/>
    <n v="3"/>
    <n v="6032"/>
    <n v="10110"/>
    <n v="6"/>
    <n v="15"/>
    <n v="3"/>
    <n v="4"/>
    <n v="80"/>
    <n v="0"/>
    <n v="8"/>
    <n v="3"/>
    <n v="5"/>
    <n v="4"/>
    <n v="1"/>
    <n v="2"/>
  </r>
  <r>
    <x v="1"/>
    <s v="Travel_Frequently"/>
    <x v="1"/>
    <s v="Current Employees"/>
    <x v="0"/>
    <x v="2"/>
    <s v="STAFF-467"/>
    <n v="467"/>
    <x v="1"/>
    <x v="6"/>
    <x v="0"/>
    <s v="No"/>
    <s v="Y"/>
    <n v="3"/>
    <n v="-2"/>
    <n v="0"/>
    <n v="47"/>
    <n v="0"/>
    <m/>
    <n v="0"/>
    <n v="1"/>
    <n v="1309"/>
    <n v="4"/>
    <x v="1"/>
    <n v="1"/>
    <n v="2"/>
    <n v="99"/>
    <n v="3"/>
    <n v="2"/>
    <n v="3"/>
    <n v="2976"/>
    <n v="25751"/>
    <n v="3"/>
    <n v="19"/>
    <n v="3"/>
    <n v="1"/>
    <n v="80"/>
    <n v="0"/>
    <n v="5"/>
    <n v="3"/>
    <n v="0"/>
    <n v="0"/>
    <n v="0"/>
    <n v="0"/>
  </r>
  <r>
    <x v="1"/>
    <s v="Travel_Rarely"/>
    <x v="0"/>
    <s v="Current Employees"/>
    <x v="1"/>
    <x v="0"/>
    <s v="STAFF-468"/>
    <n v="468"/>
    <x v="0"/>
    <x v="7"/>
    <x v="0"/>
    <s v="No"/>
    <s v="Y"/>
    <n v="2"/>
    <n v="-2"/>
    <n v="0"/>
    <n v="42"/>
    <n v="0"/>
    <m/>
    <n v="0"/>
    <n v="1"/>
    <n v="810"/>
    <n v="23"/>
    <x v="4"/>
    <n v="1"/>
    <n v="1"/>
    <n v="44"/>
    <n v="3"/>
    <n v="4"/>
    <n v="2"/>
    <n v="15992"/>
    <n v="15901"/>
    <n v="2"/>
    <n v="14"/>
    <n v="3"/>
    <n v="2"/>
    <n v="80"/>
    <n v="0"/>
    <n v="16"/>
    <n v="3"/>
    <n v="1"/>
    <n v="0"/>
    <n v="0"/>
    <n v="0"/>
  </r>
  <r>
    <x v="1"/>
    <s v="Non-Travel"/>
    <x v="2"/>
    <s v="Current Employees"/>
    <x v="0"/>
    <x v="0"/>
    <s v="STAFF-469"/>
    <n v="469"/>
    <x v="1"/>
    <x v="0"/>
    <x v="1"/>
    <s v="No"/>
    <s v="Y"/>
    <n v="3"/>
    <n v="-2"/>
    <n v="0"/>
    <n v="29"/>
    <n v="0"/>
    <m/>
    <n v="0"/>
    <n v="1"/>
    <n v="746"/>
    <n v="2"/>
    <x v="3"/>
    <n v="1"/>
    <n v="4"/>
    <n v="61"/>
    <n v="3"/>
    <n v="2"/>
    <n v="2"/>
    <n v="4649"/>
    <n v="16928"/>
    <n v="1"/>
    <n v="14"/>
    <n v="3"/>
    <n v="1"/>
    <n v="80"/>
    <n v="1"/>
    <n v="4"/>
    <n v="2"/>
    <n v="4"/>
    <n v="3"/>
    <n v="0"/>
    <n v="2"/>
  </r>
  <r>
    <x v="1"/>
    <s v="Travel_Rarely"/>
    <x v="0"/>
    <s v="Current Employees"/>
    <x v="2"/>
    <x v="4"/>
    <s v="STAFF-470"/>
    <n v="470"/>
    <x v="1"/>
    <x v="8"/>
    <x v="2"/>
    <s v="Yes"/>
    <s v="Y"/>
    <n v="5"/>
    <n v="-2"/>
    <n v="0"/>
    <n v="42"/>
    <n v="0"/>
    <m/>
    <n v="0"/>
    <n v="1"/>
    <n v="544"/>
    <n v="2"/>
    <x v="1"/>
    <n v="1"/>
    <n v="4"/>
    <n v="52"/>
    <n v="3"/>
    <n v="1"/>
    <n v="4"/>
    <n v="2696"/>
    <n v="24017"/>
    <n v="0"/>
    <n v="11"/>
    <n v="3"/>
    <n v="3"/>
    <n v="80"/>
    <n v="1"/>
    <n v="4"/>
    <n v="3"/>
    <n v="3"/>
    <n v="2"/>
    <n v="1"/>
    <n v="0"/>
  </r>
  <r>
    <x v="1"/>
    <s v="Travel_Rarely"/>
    <x v="2"/>
    <s v="Current Employees"/>
    <x v="1"/>
    <x v="2"/>
    <s v="STAFF-471"/>
    <n v="471"/>
    <x v="0"/>
    <x v="2"/>
    <x v="1"/>
    <s v="No"/>
    <s v="Y"/>
    <n v="4"/>
    <n v="-2"/>
    <n v="0"/>
    <n v="32"/>
    <n v="0"/>
    <m/>
    <n v="0"/>
    <n v="1"/>
    <n v="1062"/>
    <n v="2"/>
    <x v="3"/>
    <n v="1"/>
    <n v="3"/>
    <n v="75"/>
    <n v="3"/>
    <n v="1"/>
    <n v="3"/>
    <n v="2370"/>
    <n v="3956"/>
    <n v="1"/>
    <n v="13"/>
    <n v="3"/>
    <n v="3"/>
    <n v="80"/>
    <n v="1"/>
    <n v="8"/>
    <n v="3"/>
    <n v="8"/>
    <n v="0"/>
    <n v="0"/>
    <n v="7"/>
  </r>
  <r>
    <x v="1"/>
    <s v="Travel_Rarely"/>
    <x v="1"/>
    <s v="Current Employees"/>
    <x v="0"/>
    <x v="2"/>
    <s v="STAFF-473"/>
    <n v="473"/>
    <x v="0"/>
    <x v="5"/>
    <x v="1"/>
    <s v="No"/>
    <s v="Y"/>
    <n v="3"/>
    <n v="-2"/>
    <n v="0"/>
    <n v="48"/>
    <n v="0"/>
    <m/>
    <n v="0"/>
    <n v="1"/>
    <n v="530"/>
    <n v="29"/>
    <x v="1"/>
    <n v="1"/>
    <n v="1"/>
    <n v="91"/>
    <n v="3"/>
    <n v="3"/>
    <n v="3"/>
    <n v="12504"/>
    <n v="23978"/>
    <n v="3"/>
    <n v="21"/>
    <n v="4"/>
    <n v="2"/>
    <n v="80"/>
    <n v="1"/>
    <n v="15"/>
    <n v="1"/>
    <n v="0"/>
    <n v="0"/>
    <n v="0"/>
    <n v="0"/>
  </r>
  <r>
    <x v="1"/>
    <s v="Travel_Rarely"/>
    <x v="0"/>
    <s v="Current Employees"/>
    <x v="1"/>
    <x v="2"/>
    <s v="STAFF-474"/>
    <n v="474"/>
    <x v="1"/>
    <x v="1"/>
    <x v="2"/>
    <s v="Yes"/>
    <s v="Y"/>
    <n v="2"/>
    <n v="-2"/>
    <n v="0"/>
    <n v="37"/>
    <n v="0"/>
    <m/>
    <n v="0"/>
    <n v="1"/>
    <n v="1319"/>
    <n v="6"/>
    <x v="3"/>
    <n v="1"/>
    <n v="3"/>
    <n v="51"/>
    <n v="4"/>
    <n v="2"/>
    <n v="3"/>
    <n v="5974"/>
    <n v="17001"/>
    <n v="4"/>
    <n v="13"/>
    <n v="3"/>
    <n v="1"/>
    <n v="80"/>
    <n v="2"/>
    <n v="13"/>
    <n v="3"/>
    <n v="7"/>
    <n v="7"/>
    <n v="6"/>
    <n v="7"/>
  </r>
  <r>
    <x v="1"/>
    <s v="Non-Travel"/>
    <x v="2"/>
    <s v="Current Employees"/>
    <x v="0"/>
    <x v="4"/>
    <s v="STAFF-475"/>
    <n v="475"/>
    <x v="0"/>
    <x v="0"/>
    <x v="1"/>
    <s v="Yes"/>
    <s v="Y"/>
    <n v="2"/>
    <n v="-2"/>
    <n v="0"/>
    <n v="30"/>
    <n v="0"/>
    <m/>
    <n v="0"/>
    <n v="1"/>
    <n v="641"/>
    <n v="25"/>
    <x v="0"/>
    <n v="1"/>
    <n v="4"/>
    <n v="85"/>
    <n v="3"/>
    <n v="2"/>
    <n v="4"/>
    <n v="4736"/>
    <n v="6069"/>
    <n v="7"/>
    <n v="12"/>
    <n v="3"/>
    <n v="2"/>
    <n v="80"/>
    <n v="1"/>
    <n v="4"/>
    <n v="4"/>
    <n v="2"/>
    <n v="2"/>
    <n v="2"/>
    <n v="2"/>
  </r>
  <r>
    <x v="1"/>
    <s v="Travel_Rarely"/>
    <x v="2"/>
    <s v="Current Employees"/>
    <x v="0"/>
    <x v="0"/>
    <s v="STAFF-476"/>
    <n v="476"/>
    <x v="1"/>
    <x v="0"/>
    <x v="1"/>
    <s v="No"/>
    <s v="Y"/>
    <n v="3"/>
    <n v="-2"/>
    <n v="0"/>
    <n v="26"/>
    <n v="0"/>
    <m/>
    <n v="0"/>
    <n v="1"/>
    <n v="933"/>
    <n v="1"/>
    <x v="3"/>
    <n v="1"/>
    <n v="3"/>
    <n v="57"/>
    <n v="3"/>
    <n v="2"/>
    <n v="2"/>
    <n v="5296"/>
    <n v="20156"/>
    <n v="1"/>
    <n v="17"/>
    <n v="3"/>
    <n v="2"/>
    <n v="80"/>
    <n v="1"/>
    <n v="8"/>
    <n v="3"/>
    <n v="8"/>
    <n v="7"/>
    <n v="7"/>
    <n v="7"/>
  </r>
  <r>
    <x v="1"/>
    <s v="Travel_Rarely"/>
    <x v="0"/>
    <s v="Current Employees"/>
    <x v="1"/>
    <x v="1"/>
    <s v="STAFF-477"/>
    <n v="477"/>
    <x v="1"/>
    <x v="4"/>
    <x v="0"/>
    <s v="No"/>
    <s v="Y"/>
    <n v="6"/>
    <n v="-2"/>
    <n v="0"/>
    <n v="42"/>
    <n v="0"/>
    <m/>
    <n v="0"/>
    <n v="1"/>
    <n v="1332"/>
    <n v="2"/>
    <x v="2"/>
    <n v="1"/>
    <n v="1"/>
    <n v="98"/>
    <n v="2"/>
    <n v="2"/>
    <n v="4"/>
    <n v="6781"/>
    <n v="17078"/>
    <n v="3"/>
    <n v="23"/>
    <n v="4"/>
    <n v="2"/>
    <n v="80"/>
    <n v="0"/>
    <n v="14"/>
    <n v="3"/>
    <n v="1"/>
    <n v="0"/>
    <n v="0"/>
    <n v="0"/>
  </r>
  <r>
    <x v="0"/>
    <s v="Travel_Frequently"/>
    <x v="4"/>
    <s v="Ex-Employees"/>
    <x v="0"/>
    <x v="4"/>
    <s v="STAFF-478"/>
    <n v="478"/>
    <x v="0"/>
    <x v="6"/>
    <x v="0"/>
    <s v="Yes"/>
    <s v="Y"/>
    <n v="3"/>
    <n v="-2"/>
    <n v="0"/>
    <n v="21"/>
    <n v="1"/>
    <n v="1"/>
    <n v="1"/>
    <n v="0"/>
    <n v="756"/>
    <n v="1"/>
    <x v="1"/>
    <n v="1"/>
    <n v="4"/>
    <n v="99"/>
    <n v="2"/>
    <n v="1"/>
    <n v="4"/>
    <n v="2174"/>
    <n v="9150"/>
    <n v="1"/>
    <n v="11"/>
    <n v="3"/>
    <n v="3"/>
    <n v="80"/>
    <n v="0"/>
    <n v="3"/>
    <n v="3"/>
    <n v="3"/>
    <n v="2"/>
    <n v="1"/>
    <n v="2"/>
  </r>
  <r>
    <x v="1"/>
    <s v="Non-Travel"/>
    <x v="0"/>
    <s v="Current Employees"/>
    <x v="0"/>
    <x v="2"/>
    <s v="STAFF-479"/>
    <n v="479"/>
    <x v="0"/>
    <x v="0"/>
    <x v="0"/>
    <s v="No"/>
    <s v="Y"/>
    <n v="6"/>
    <n v="-2"/>
    <n v="0"/>
    <n v="36"/>
    <n v="0"/>
    <m/>
    <n v="0"/>
    <n v="1"/>
    <n v="845"/>
    <n v="1"/>
    <x v="4"/>
    <n v="1"/>
    <n v="4"/>
    <n v="45"/>
    <n v="3"/>
    <n v="2"/>
    <n v="4"/>
    <n v="6653"/>
    <n v="15276"/>
    <n v="4"/>
    <n v="15"/>
    <n v="3"/>
    <n v="2"/>
    <n v="80"/>
    <n v="0"/>
    <n v="7"/>
    <n v="3"/>
    <n v="1"/>
    <n v="0"/>
    <n v="0"/>
    <n v="0"/>
  </r>
  <r>
    <x v="1"/>
    <s v="Travel_Frequently"/>
    <x v="0"/>
    <s v="Current Employees"/>
    <x v="0"/>
    <x v="2"/>
    <s v="STAFF-481"/>
    <n v="481"/>
    <x v="1"/>
    <x v="0"/>
    <x v="1"/>
    <s v="No"/>
    <s v="Y"/>
    <n v="2"/>
    <n v="-2"/>
    <n v="0"/>
    <n v="36"/>
    <n v="0"/>
    <m/>
    <n v="0"/>
    <n v="1"/>
    <n v="541"/>
    <n v="3"/>
    <x v="2"/>
    <n v="1"/>
    <n v="1"/>
    <n v="48"/>
    <n v="2"/>
    <n v="3"/>
    <n v="4"/>
    <n v="9699"/>
    <n v="7246"/>
    <n v="4"/>
    <n v="11"/>
    <n v="3"/>
    <n v="1"/>
    <n v="80"/>
    <n v="1"/>
    <n v="16"/>
    <n v="3"/>
    <n v="13"/>
    <n v="9"/>
    <n v="1"/>
    <n v="12"/>
  </r>
  <r>
    <x v="1"/>
    <s v="Travel_Rarely"/>
    <x v="3"/>
    <s v="Current Employees"/>
    <x v="1"/>
    <x v="2"/>
    <s v="STAFF-482"/>
    <n v="482"/>
    <x v="1"/>
    <x v="4"/>
    <x v="1"/>
    <s v="No"/>
    <s v="Y"/>
    <n v="2"/>
    <n v="-2"/>
    <n v="0"/>
    <n v="57"/>
    <n v="0"/>
    <m/>
    <n v="0"/>
    <n v="1"/>
    <n v="593"/>
    <n v="1"/>
    <x v="2"/>
    <n v="1"/>
    <n v="4"/>
    <n v="88"/>
    <n v="3"/>
    <n v="2"/>
    <n v="3"/>
    <n v="6755"/>
    <n v="2967"/>
    <n v="2"/>
    <n v="11"/>
    <n v="3"/>
    <n v="3"/>
    <n v="80"/>
    <n v="0"/>
    <n v="15"/>
    <n v="3"/>
    <n v="3"/>
    <n v="2"/>
    <n v="1"/>
    <n v="2"/>
  </r>
  <r>
    <x v="1"/>
    <s v="Travel_Rarely"/>
    <x v="0"/>
    <s v="Current Employees"/>
    <x v="1"/>
    <x v="0"/>
    <s v="STAFF-483"/>
    <n v="483"/>
    <x v="0"/>
    <x v="2"/>
    <x v="1"/>
    <s v="Yes"/>
    <s v="Y"/>
    <n v="3"/>
    <n v="-2"/>
    <n v="0"/>
    <n v="40"/>
    <n v="0"/>
    <m/>
    <n v="0"/>
    <n v="1"/>
    <n v="1171"/>
    <n v="10"/>
    <x v="2"/>
    <n v="1"/>
    <n v="4"/>
    <n v="46"/>
    <n v="4"/>
    <n v="1"/>
    <n v="2"/>
    <n v="2213"/>
    <n v="22495"/>
    <n v="3"/>
    <n v="13"/>
    <n v="3"/>
    <n v="3"/>
    <n v="80"/>
    <n v="1"/>
    <n v="10"/>
    <n v="3"/>
    <n v="7"/>
    <n v="7"/>
    <n v="1"/>
    <n v="7"/>
  </r>
  <r>
    <x v="1"/>
    <s v="Non-Travel"/>
    <x v="4"/>
    <s v="Current Employees"/>
    <x v="0"/>
    <x v="2"/>
    <s v="STAFF-484"/>
    <n v="484"/>
    <x v="1"/>
    <x v="6"/>
    <x v="0"/>
    <s v="No"/>
    <s v="Y"/>
    <n v="3"/>
    <n v="-2"/>
    <n v="0"/>
    <n v="21"/>
    <n v="0"/>
    <m/>
    <n v="0"/>
    <n v="1"/>
    <n v="895"/>
    <n v="9"/>
    <x v="0"/>
    <n v="1"/>
    <n v="1"/>
    <n v="39"/>
    <n v="3"/>
    <n v="1"/>
    <n v="4"/>
    <n v="2610"/>
    <n v="2851"/>
    <n v="1"/>
    <n v="24"/>
    <n v="4"/>
    <n v="3"/>
    <n v="80"/>
    <n v="0"/>
    <n v="3"/>
    <n v="2"/>
    <n v="3"/>
    <n v="2"/>
    <n v="2"/>
    <n v="2"/>
  </r>
  <r>
    <x v="0"/>
    <s v="Travel_Rarely"/>
    <x v="2"/>
    <s v="Ex-Employees"/>
    <x v="0"/>
    <x v="3"/>
    <s v="STAFF-485"/>
    <n v="485"/>
    <x v="0"/>
    <x v="6"/>
    <x v="0"/>
    <s v="Yes"/>
    <s v="Y"/>
    <n v="2"/>
    <n v="-2"/>
    <n v="0"/>
    <n v="33"/>
    <n v="1"/>
    <n v="1"/>
    <n v="1"/>
    <n v="0"/>
    <n v="350"/>
    <n v="5"/>
    <x v="3"/>
    <n v="1"/>
    <n v="4"/>
    <n v="34"/>
    <n v="3"/>
    <n v="1"/>
    <n v="1"/>
    <n v="2851"/>
    <n v="9150"/>
    <n v="1"/>
    <n v="13"/>
    <n v="3"/>
    <n v="2"/>
    <n v="80"/>
    <n v="0"/>
    <n v="1"/>
    <n v="3"/>
    <n v="1"/>
    <n v="0"/>
    <n v="0"/>
    <n v="0"/>
  </r>
  <r>
    <x v="1"/>
    <s v="Travel_Rarely"/>
    <x v="0"/>
    <s v="Current Employees"/>
    <x v="1"/>
    <x v="2"/>
    <s v="STAFF-486"/>
    <n v="486"/>
    <x v="0"/>
    <x v="2"/>
    <x v="1"/>
    <s v="No"/>
    <s v="Y"/>
    <n v="3"/>
    <n v="-2"/>
    <n v="0"/>
    <n v="37"/>
    <n v="0"/>
    <m/>
    <n v="0"/>
    <n v="1"/>
    <n v="921"/>
    <n v="10"/>
    <x v="3"/>
    <n v="1"/>
    <n v="3"/>
    <n v="98"/>
    <n v="3"/>
    <n v="1"/>
    <n v="3"/>
    <n v="3452"/>
    <n v="17663"/>
    <n v="6"/>
    <n v="20"/>
    <n v="4"/>
    <n v="2"/>
    <n v="80"/>
    <n v="1"/>
    <n v="17"/>
    <n v="3"/>
    <n v="5"/>
    <n v="4"/>
    <n v="0"/>
    <n v="3"/>
  </r>
  <r>
    <x v="1"/>
    <s v="Non-Travel"/>
    <x v="1"/>
    <s v="Current Employees"/>
    <x v="1"/>
    <x v="2"/>
    <s v="STAFF-487"/>
    <n v="487"/>
    <x v="0"/>
    <x v="3"/>
    <x v="1"/>
    <s v="No"/>
    <s v="Y"/>
    <n v="2"/>
    <n v="-2"/>
    <n v="0"/>
    <n v="46"/>
    <n v="0"/>
    <m/>
    <n v="0"/>
    <n v="1"/>
    <n v="1144"/>
    <n v="7"/>
    <x v="2"/>
    <n v="1"/>
    <n v="3"/>
    <n v="30"/>
    <n v="3"/>
    <n v="2"/>
    <n v="3"/>
    <n v="5258"/>
    <n v="16044"/>
    <n v="2"/>
    <n v="14"/>
    <n v="3"/>
    <n v="3"/>
    <n v="80"/>
    <n v="0"/>
    <n v="7"/>
    <n v="4"/>
    <n v="1"/>
    <n v="0"/>
    <n v="0"/>
    <n v="0"/>
  </r>
  <r>
    <x v="0"/>
    <s v="Travel_Frequently"/>
    <x v="0"/>
    <s v="Ex-Employees"/>
    <x v="0"/>
    <x v="3"/>
    <s v="STAFF-488"/>
    <n v="488"/>
    <x v="1"/>
    <x v="0"/>
    <x v="0"/>
    <s v="No"/>
    <s v="Y"/>
    <n v="5"/>
    <n v="-2"/>
    <n v="0"/>
    <n v="41"/>
    <n v="1"/>
    <n v="1"/>
    <n v="1"/>
    <n v="0"/>
    <n v="143"/>
    <n v="4"/>
    <x v="3"/>
    <n v="1"/>
    <n v="1"/>
    <n v="56"/>
    <n v="3"/>
    <n v="2"/>
    <n v="1"/>
    <n v="9355"/>
    <n v="9558"/>
    <n v="1"/>
    <n v="18"/>
    <n v="3"/>
    <n v="3"/>
    <n v="80"/>
    <n v="0"/>
    <n v="8"/>
    <n v="3"/>
    <n v="8"/>
    <n v="7"/>
    <n v="7"/>
    <n v="7"/>
  </r>
  <r>
    <x v="1"/>
    <s v="Travel_Rarely"/>
    <x v="1"/>
    <s v="Current Employees"/>
    <x v="1"/>
    <x v="4"/>
    <s v="STAFF-491"/>
    <n v="491"/>
    <x v="1"/>
    <x v="4"/>
    <x v="0"/>
    <s v="No"/>
    <s v="Y"/>
    <n v="2"/>
    <n v="-2"/>
    <n v="0"/>
    <n v="50"/>
    <n v="0"/>
    <m/>
    <n v="0"/>
    <n v="1"/>
    <n v="1046"/>
    <n v="10"/>
    <x v="3"/>
    <n v="1"/>
    <n v="4"/>
    <n v="100"/>
    <n v="2"/>
    <n v="3"/>
    <n v="4"/>
    <n v="10496"/>
    <n v="2755"/>
    <n v="6"/>
    <n v="15"/>
    <n v="3"/>
    <n v="4"/>
    <n v="80"/>
    <n v="0"/>
    <n v="20"/>
    <n v="3"/>
    <n v="4"/>
    <n v="3"/>
    <n v="1"/>
    <n v="3"/>
  </r>
  <r>
    <x v="0"/>
    <s v="Travel_Rarely"/>
    <x v="0"/>
    <s v="Ex-Employees"/>
    <x v="0"/>
    <x v="3"/>
    <s v="STAFF-492"/>
    <n v="492"/>
    <x v="1"/>
    <x v="0"/>
    <x v="1"/>
    <s v="Yes"/>
    <s v="Y"/>
    <n v="6"/>
    <n v="-2"/>
    <n v="0"/>
    <n v="40"/>
    <n v="1"/>
    <n v="1"/>
    <n v="1"/>
    <n v="0"/>
    <n v="575"/>
    <n v="22"/>
    <x v="0"/>
    <n v="1"/>
    <n v="3"/>
    <n v="68"/>
    <n v="2"/>
    <n v="2"/>
    <n v="1"/>
    <n v="6380"/>
    <n v="6110"/>
    <n v="2"/>
    <n v="12"/>
    <n v="3"/>
    <n v="1"/>
    <n v="80"/>
    <n v="2"/>
    <n v="8"/>
    <n v="3"/>
    <n v="6"/>
    <n v="4"/>
    <n v="1"/>
    <n v="0"/>
  </r>
  <r>
    <x v="1"/>
    <s v="Travel_Rarely"/>
    <x v="2"/>
    <s v="Current Employees"/>
    <x v="1"/>
    <x v="0"/>
    <s v="STAFF-493"/>
    <n v="493"/>
    <x v="1"/>
    <x v="1"/>
    <x v="0"/>
    <s v="Yes"/>
    <s v="Y"/>
    <n v="5"/>
    <n v="-2"/>
    <n v="0"/>
    <n v="31"/>
    <n v="0"/>
    <m/>
    <n v="0"/>
    <n v="1"/>
    <n v="408"/>
    <n v="9"/>
    <x v="2"/>
    <n v="1"/>
    <n v="3"/>
    <n v="42"/>
    <n v="2"/>
    <n v="1"/>
    <n v="2"/>
    <n v="2657"/>
    <n v="7551"/>
    <n v="0"/>
    <n v="16"/>
    <n v="3"/>
    <n v="4"/>
    <n v="80"/>
    <n v="0"/>
    <n v="3"/>
    <n v="3"/>
    <n v="2"/>
    <n v="2"/>
    <n v="2"/>
    <n v="2"/>
  </r>
  <r>
    <x v="0"/>
    <s v="Travel_Rarely"/>
    <x v="4"/>
    <s v="Ex-Employees"/>
    <x v="0"/>
    <x v="0"/>
    <s v="STAFF-494"/>
    <n v="494"/>
    <x v="0"/>
    <x v="6"/>
    <x v="0"/>
    <s v="No"/>
    <s v="Y"/>
    <n v="0"/>
    <n v="-2"/>
    <n v="0"/>
    <n v="21"/>
    <n v="1"/>
    <n v="1"/>
    <n v="1"/>
    <n v="0"/>
    <n v="156"/>
    <n v="12"/>
    <x v="3"/>
    <n v="1"/>
    <n v="3"/>
    <n v="90"/>
    <n v="4"/>
    <n v="1"/>
    <n v="2"/>
    <n v="2716"/>
    <n v="25422"/>
    <n v="1"/>
    <n v="15"/>
    <n v="3"/>
    <n v="4"/>
    <n v="80"/>
    <n v="0"/>
    <n v="1"/>
    <n v="3"/>
    <n v="1"/>
    <n v="0"/>
    <n v="0"/>
    <n v="0"/>
  </r>
  <r>
    <x v="1"/>
    <s v="Travel_Rarely"/>
    <x v="2"/>
    <s v="Current Employees"/>
    <x v="1"/>
    <x v="0"/>
    <s v="STAFF-495"/>
    <n v="495"/>
    <x v="1"/>
    <x v="1"/>
    <x v="0"/>
    <s v="No"/>
    <s v="Y"/>
    <n v="4"/>
    <n v="-2"/>
    <n v="0"/>
    <n v="29"/>
    <n v="0"/>
    <m/>
    <n v="0"/>
    <n v="1"/>
    <n v="1283"/>
    <n v="23"/>
    <x v="3"/>
    <n v="1"/>
    <n v="4"/>
    <n v="54"/>
    <n v="3"/>
    <n v="1"/>
    <n v="2"/>
    <n v="2201"/>
    <n v="18168"/>
    <n v="9"/>
    <n v="16"/>
    <n v="3"/>
    <n v="4"/>
    <n v="80"/>
    <n v="0"/>
    <n v="6"/>
    <n v="3"/>
    <n v="3"/>
    <n v="2"/>
    <n v="1"/>
    <n v="2"/>
  </r>
  <r>
    <x v="1"/>
    <s v="Travel_Rarely"/>
    <x v="0"/>
    <s v="Current Employees"/>
    <x v="1"/>
    <x v="0"/>
    <s v="STAFF-496"/>
    <n v="496"/>
    <x v="1"/>
    <x v="4"/>
    <x v="0"/>
    <s v="No"/>
    <s v="Y"/>
    <n v="5"/>
    <n v="-2"/>
    <n v="0"/>
    <n v="35"/>
    <n v="0"/>
    <m/>
    <n v="0"/>
    <n v="1"/>
    <n v="755"/>
    <n v="9"/>
    <x v="2"/>
    <n v="1"/>
    <n v="3"/>
    <n v="97"/>
    <n v="2"/>
    <n v="2"/>
    <n v="2"/>
    <n v="6540"/>
    <n v="19394"/>
    <n v="9"/>
    <n v="19"/>
    <n v="3"/>
    <n v="3"/>
    <n v="80"/>
    <n v="0"/>
    <n v="10"/>
    <n v="3"/>
    <n v="1"/>
    <n v="1"/>
    <n v="0"/>
    <n v="0"/>
  </r>
  <r>
    <x v="1"/>
    <s v="Travel_Rarely"/>
    <x v="2"/>
    <s v="Current Employees"/>
    <x v="1"/>
    <x v="2"/>
    <s v="STAFF-497"/>
    <n v="497"/>
    <x v="1"/>
    <x v="2"/>
    <x v="2"/>
    <s v="No"/>
    <s v="Y"/>
    <n v="2"/>
    <n v="-2"/>
    <n v="0"/>
    <n v="27"/>
    <n v="0"/>
    <m/>
    <n v="0"/>
    <n v="1"/>
    <n v="1469"/>
    <n v="1"/>
    <x v="0"/>
    <n v="1"/>
    <n v="4"/>
    <n v="82"/>
    <n v="3"/>
    <n v="1"/>
    <n v="3"/>
    <n v="3816"/>
    <n v="17881"/>
    <n v="1"/>
    <n v="11"/>
    <n v="3"/>
    <n v="2"/>
    <n v="80"/>
    <n v="1"/>
    <n v="5"/>
    <n v="3"/>
    <n v="5"/>
    <n v="2"/>
    <n v="0"/>
    <n v="4"/>
  </r>
  <r>
    <x v="1"/>
    <s v="Travel_Rarely"/>
    <x v="2"/>
    <s v="Current Employees"/>
    <x v="0"/>
    <x v="0"/>
    <s v="STAFF-498"/>
    <n v="498"/>
    <x v="1"/>
    <x v="0"/>
    <x v="0"/>
    <s v="No"/>
    <s v="Y"/>
    <n v="1"/>
    <n v="-2"/>
    <n v="0"/>
    <n v="28"/>
    <n v="0"/>
    <m/>
    <n v="0"/>
    <n v="1"/>
    <n v="304"/>
    <n v="9"/>
    <x v="2"/>
    <n v="1"/>
    <n v="2"/>
    <n v="92"/>
    <n v="3"/>
    <n v="2"/>
    <n v="2"/>
    <n v="5253"/>
    <n v="20750"/>
    <n v="1"/>
    <n v="16"/>
    <n v="3"/>
    <n v="4"/>
    <n v="80"/>
    <n v="0"/>
    <n v="7"/>
    <n v="3"/>
    <n v="7"/>
    <n v="5"/>
    <n v="0"/>
    <n v="7"/>
  </r>
  <r>
    <x v="1"/>
    <s v="Travel_Rarely"/>
    <x v="1"/>
    <s v="Current Employees"/>
    <x v="1"/>
    <x v="1"/>
    <s v="STAFF-499"/>
    <n v="499"/>
    <x v="1"/>
    <x v="4"/>
    <x v="0"/>
    <s v="No"/>
    <s v="Y"/>
    <n v="2"/>
    <n v="-2"/>
    <n v="0"/>
    <n v="49"/>
    <n v="0"/>
    <m/>
    <n v="0"/>
    <n v="1"/>
    <n v="1261"/>
    <n v="7"/>
    <x v="3"/>
    <n v="1"/>
    <n v="2"/>
    <n v="31"/>
    <n v="2"/>
    <n v="3"/>
    <n v="3"/>
    <n v="10965"/>
    <n v="12066"/>
    <n v="8"/>
    <n v="24"/>
    <n v="4"/>
    <n v="3"/>
    <n v="80"/>
    <n v="0"/>
    <n v="26"/>
    <n v="3"/>
    <n v="5"/>
    <n v="2"/>
    <n v="0"/>
    <n v="0"/>
  </r>
  <r>
    <x v="1"/>
    <s v="Travel_Rarely"/>
    <x v="1"/>
    <s v="Current Employees"/>
    <x v="0"/>
    <x v="0"/>
    <s v="STAFF-500"/>
    <n v="500"/>
    <x v="0"/>
    <x v="0"/>
    <x v="1"/>
    <s v="No"/>
    <s v="Y"/>
    <n v="2"/>
    <n v="-2"/>
    <n v="0"/>
    <n v="51"/>
    <n v="0"/>
    <m/>
    <n v="0"/>
    <n v="1"/>
    <n v="1178"/>
    <n v="14"/>
    <x v="0"/>
    <n v="1"/>
    <n v="3"/>
    <n v="87"/>
    <n v="3"/>
    <n v="2"/>
    <n v="2"/>
    <n v="4936"/>
    <n v="14862"/>
    <n v="4"/>
    <n v="11"/>
    <n v="3"/>
    <n v="3"/>
    <n v="80"/>
    <n v="1"/>
    <n v="18"/>
    <n v="2"/>
    <n v="7"/>
    <n v="7"/>
    <n v="0"/>
    <n v="7"/>
  </r>
  <r>
    <x v="1"/>
    <s v="Travel_Rarely"/>
    <x v="0"/>
    <s v="Current Employees"/>
    <x v="1"/>
    <x v="0"/>
    <s v="STAFF-501"/>
    <n v="501"/>
    <x v="0"/>
    <x v="1"/>
    <x v="1"/>
    <s v="No"/>
    <s v="Y"/>
    <n v="3"/>
    <n v="-2"/>
    <n v="0"/>
    <n v="36"/>
    <n v="0"/>
    <m/>
    <n v="0"/>
    <n v="1"/>
    <n v="329"/>
    <n v="2"/>
    <x v="3"/>
    <n v="1"/>
    <n v="4"/>
    <n v="96"/>
    <n v="3"/>
    <n v="1"/>
    <n v="2"/>
    <n v="2543"/>
    <n v="11868"/>
    <n v="4"/>
    <n v="13"/>
    <n v="3"/>
    <n v="2"/>
    <n v="80"/>
    <n v="1"/>
    <n v="6"/>
    <n v="3"/>
    <n v="2"/>
    <n v="2"/>
    <n v="2"/>
    <n v="2"/>
  </r>
  <r>
    <x v="0"/>
    <s v="Non-Travel"/>
    <x v="2"/>
    <s v="Ex-Employees"/>
    <x v="0"/>
    <x v="3"/>
    <s v="STAFF-502"/>
    <n v="502"/>
    <x v="1"/>
    <x v="0"/>
    <x v="0"/>
    <s v="Yes"/>
    <s v="Y"/>
    <n v="3"/>
    <n v="-2"/>
    <n v="0"/>
    <n v="34"/>
    <n v="1"/>
    <n v="1"/>
    <n v="1"/>
    <n v="0"/>
    <n v="1362"/>
    <n v="19"/>
    <x v="3"/>
    <n v="1"/>
    <n v="1"/>
    <n v="67"/>
    <n v="4"/>
    <n v="2"/>
    <n v="1"/>
    <n v="5304"/>
    <n v="4652"/>
    <n v="8"/>
    <n v="13"/>
    <n v="3"/>
    <n v="2"/>
    <n v="80"/>
    <n v="0"/>
    <n v="9"/>
    <n v="2"/>
    <n v="5"/>
    <n v="2"/>
    <n v="0"/>
    <n v="4"/>
  </r>
  <r>
    <x v="1"/>
    <s v="Travel_Rarely"/>
    <x v="3"/>
    <s v="Current Employees"/>
    <x v="1"/>
    <x v="0"/>
    <s v="STAFF-505"/>
    <n v="505"/>
    <x v="0"/>
    <x v="5"/>
    <x v="0"/>
    <s v="Yes"/>
    <s v="Y"/>
    <n v="2"/>
    <n v="-2"/>
    <n v="0"/>
    <n v="55"/>
    <n v="0"/>
    <m/>
    <n v="0"/>
    <n v="1"/>
    <n v="1311"/>
    <n v="2"/>
    <x v="3"/>
    <n v="1"/>
    <n v="3"/>
    <n v="97"/>
    <n v="3"/>
    <n v="4"/>
    <n v="2"/>
    <n v="16659"/>
    <n v="23258"/>
    <n v="2"/>
    <n v="13"/>
    <n v="3"/>
    <n v="3"/>
    <n v="80"/>
    <n v="0"/>
    <n v="30"/>
    <n v="3"/>
    <n v="5"/>
    <n v="4"/>
    <n v="1"/>
    <n v="2"/>
  </r>
  <r>
    <x v="1"/>
    <s v="Travel_Rarely"/>
    <x v="4"/>
    <s v="Current Employees"/>
    <x v="0"/>
    <x v="3"/>
    <s v="STAFF-507"/>
    <n v="507"/>
    <x v="0"/>
    <x v="0"/>
    <x v="2"/>
    <s v="Yes"/>
    <s v="Y"/>
    <n v="2"/>
    <n v="-2"/>
    <n v="0"/>
    <n v="24"/>
    <n v="0"/>
    <m/>
    <n v="0"/>
    <n v="1"/>
    <n v="1371"/>
    <n v="10"/>
    <x v="2"/>
    <n v="1"/>
    <n v="4"/>
    <n v="77"/>
    <n v="3"/>
    <n v="2"/>
    <n v="1"/>
    <n v="4260"/>
    <n v="5915"/>
    <n v="1"/>
    <n v="12"/>
    <n v="3"/>
    <n v="4"/>
    <n v="80"/>
    <n v="1"/>
    <n v="5"/>
    <n v="4"/>
    <n v="5"/>
    <n v="2"/>
    <n v="0"/>
    <n v="3"/>
  </r>
  <r>
    <x v="1"/>
    <s v="Travel_Rarely"/>
    <x v="2"/>
    <s v="Current Employees"/>
    <x v="0"/>
    <x v="4"/>
    <s v="STAFF-508"/>
    <n v="508"/>
    <x v="1"/>
    <x v="6"/>
    <x v="1"/>
    <s v="No"/>
    <s v="Y"/>
    <n v="3"/>
    <n v="-2"/>
    <n v="0"/>
    <n v="30"/>
    <n v="0"/>
    <m/>
    <n v="0"/>
    <n v="1"/>
    <n v="202"/>
    <n v="2"/>
    <x v="1"/>
    <n v="1"/>
    <n v="4"/>
    <n v="72"/>
    <n v="3"/>
    <n v="1"/>
    <n v="4"/>
    <n v="2476"/>
    <n v="17434"/>
    <n v="1"/>
    <n v="18"/>
    <n v="3"/>
    <n v="1"/>
    <n v="80"/>
    <n v="1"/>
    <n v="1"/>
    <n v="3"/>
    <n v="1"/>
    <n v="0"/>
    <n v="0"/>
    <n v="0"/>
  </r>
  <r>
    <x v="0"/>
    <s v="Travel_Frequently"/>
    <x v="2"/>
    <s v="Ex-Employees"/>
    <x v="1"/>
    <x v="4"/>
    <s v="STAFF-510"/>
    <n v="510"/>
    <x v="1"/>
    <x v="1"/>
    <x v="0"/>
    <s v="No"/>
    <s v="Y"/>
    <n v="2"/>
    <n v="-2"/>
    <n v="0"/>
    <n v="26"/>
    <n v="1"/>
    <n v="1"/>
    <n v="1"/>
    <n v="0"/>
    <n v="575"/>
    <n v="3"/>
    <x v="1"/>
    <n v="1"/>
    <n v="4"/>
    <n v="73"/>
    <n v="3"/>
    <n v="1"/>
    <n v="4"/>
    <n v="3102"/>
    <n v="6582"/>
    <n v="0"/>
    <n v="22"/>
    <n v="4"/>
    <n v="3"/>
    <n v="80"/>
    <n v="0"/>
    <n v="7"/>
    <n v="3"/>
    <n v="6"/>
    <n v="4"/>
    <n v="0"/>
    <n v="4"/>
  </r>
  <r>
    <x v="1"/>
    <s v="Travel_Rarely"/>
    <x v="4"/>
    <s v="Current Employees"/>
    <x v="1"/>
    <x v="2"/>
    <s v="STAFF-511"/>
    <n v="511"/>
    <x v="0"/>
    <x v="1"/>
    <x v="1"/>
    <s v="No"/>
    <s v="Y"/>
    <n v="1"/>
    <n v="-2"/>
    <n v="0"/>
    <n v="22"/>
    <n v="0"/>
    <m/>
    <n v="0"/>
    <n v="1"/>
    <n v="253"/>
    <n v="11"/>
    <x v="3"/>
    <n v="1"/>
    <n v="1"/>
    <n v="43"/>
    <n v="3"/>
    <n v="1"/>
    <n v="3"/>
    <n v="2244"/>
    <n v="24440"/>
    <n v="1"/>
    <n v="13"/>
    <n v="3"/>
    <n v="4"/>
    <n v="80"/>
    <n v="1"/>
    <n v="2"/>
    <n v="3"/>
    <n v="2"/>
    <n v="1"/>
    <n v="1"/>
    <n v="2"/>
  </r>
  <r>
    <x v="1"/>
    <s v="Travel_Rarely"/>
    <x v="0"/>
    <s v="Current Employees"/>
    <x v="0"/>
    <x v="2"/>
    <s v="STAFF-513"/>
    <n v="513"/>
    <x v="1"/>
    <x v="0"/>
    <x v="1"/>
    <s v="No"/>
    <s v="Y"/>
    <n v="2"/>
    <n v="-2"/>
    <n v="0"/>
    <n v="36"/>
    <n v="0"/>
    <m/>
    <n v="0"/>
    <n v="1"/>
    <n v="164"/>
    <n v="2"/>
    <x v="0"/>
    <n v="1"/>
    <n v="2"/>
    <n v="61"/>
    <n v="2"/>
    <n v="3"/>
    <n v="3"/>
    <n v="7596"/>
    <n v="3809"/>
    <n v="1"/>
    <n v="13"/>
    <n v="3"/>
    <n v="2"/>
    <n v="80"/>
    <n v="2"/>
    <n v="10"/>
    <n v="3"/>
    <n v="10"/>
    <n v="9"/>
    <n v="9"/>
    <n v="0"/>
  </r>
  <r>
    <x v="0"/>
    <s v="Travel_Frequently"/>
    <x v="2"/>
    <s v="Ex-Employees"/>
    <x v="1"/>
    <x v="4"/>
    <s v="STAFF-514"/>
    <n v="514"/>
    <x v="1"/>
    <x v="1"/>
    <x v="0"/>
    <s v="Yes"/>
    <s v="Y"/>
    <n v="4"/>
    <n v="-2"/>
    <n v="0"/>
    <n v="30"/>
    <n v="1"/>
    <n v="1"/>
    <n v="1"/>
    <n v="0"/>
    <n v="464"/>
    <n v="4"/>
    <x v="3"/>
    <n v="1"/>
    <n v="4"/>
    <n v="40"/>
    <n v="3"/>
    <n v="1"/>
    <n v="4"/>
    <n v="2285"/>
    <n v="3427"/>
    <n v="9"/>
    <n v="23"/>
    <n v="4"/>
    <n v="3"/>
    <n v="80"/>
    <n v="0"/>
    <n v="3"/>
    <n v="3"/>
    <n v="1"/>
    <n v="0"/>
    <n v="0"/>
    <n v="0"/>
  </r>
  <r>
    <x v="1"/>
    <s v="Travel_Rarely"/>
    <x v="0"/>
    <s v="Current Employees"/>
    <x v="1"/>
    <x v="0"/>
    <s v="STAFF-515"/>
    <n v="515"/>
    <x v="0"/>
    <x v="2"/>
    <x v="2"/>
    <s v="No"/>
    <s v="Y"/>
    <n v="2"/>
    <n v="-2"/>
    <n v="0"/>
    <n v="37"/>
    <n v="0"/>
    <m/>
    <n v="0"/>
    <n v="1"/>
    <n v="1107"/>
    <n v="14"/>
    <x v="3"/>
    <n v="1"/>
    <n v="4"/>
    <n v="95"/>
    <n v="3"/>
    <n v="1"/>
    <n v="2"/>
    <n v="3034"/>
    <n v="26914"/>
    <n v="1"/>
    <n v="12"/>
    <n v="3"/>
    <n v="3"/>
    <n v="80"/>
    <n v="1"/>
    <n v="18"/>
    <n v="2"/>
    <n v="18"/>
    <n v="7"/>
    <n v="12"/>
    <n v="17"/>
  </r>
  <r>
    <x v="1"/>
    <s v="Travel_Rarely"/>
    <x v="0"/>
    <s v="Current Employees"/>
    <x v="0"/>
    <x v="3"/>
    <s v="STAFF-516"/>
    <n v="516"/>
    <x v="0"/>
    <x v="0"/>
    <x v="2"/>
    <s v="No"/>
    <s v="Y"/>
    <n v="5"/>
    <n v="-2"/>
    <n v="0"/>
    <n v="40"/>
    <n v="0"/>
    <m/>
    <n v="0"/>
    <n v="1"/>
    <n v="759"/>
    <n v="2"/>
    <x v="0"/>
    <n v="1"/>
    <n v="4"/>
    <n v="46"/>
    <n v="3"/>
    <n v="2"/>
    <n v="1"/>
    <n v="5715"/>
    <n v="22553"/>
    <n v="7"/>
    <n v="12"/>
    <n v="3"/>
    <n v="3"/>
    <n v="80"/>
    <n v="2"/>
    <n v="8"/>
    <n v="3"/>
    <n v="5"/>
    <n v="4"/>
    <n v="1"/>
    <n v="3"/>
  </r>
  <r>
    <x v="1"/>
    <s v="Travel_Rarely"/>
    <x v="0"/>
    <s v="Current Employees"/>
    <x v="1"/>
    <x v="0"/>
    <s v="STAFF-517"/>
    <n v="517"/>
    <x v="0"/>
    <x v="2"/>
    <x v="2"/>
    <s v="No"/>
    <s v="Y"/>
    <n v="5"/>
    <n v="-2"/>
    <n v="0"/>
    <n v="42"/>
    <n v="0"/>
    <m/>
    <n v="0"/>
    <n v="1"/>
    <n v="201"/>
    <n v="1"/>
    <x v="2"/>
    <n v="1"/>
    <n v="2"/>
    <n v="95"/>
    <n v="3"/>
    <n v="1"/>
    <n v="2"/>
    <n v="2576"/>
    <n v="20490"/>
    <n v="3"/>
    <n v="16"/>
    <n v="3"/>
    <n v="2"/>
    <n v="80"/>
    <n v="1"/>
    <n v="8"/>
    <n v="3"/>
    <n v="5"/>
    <n v="2"/>
    <n v="1"/>
    <n v="2"/>
  </r>
  <r>
    <x v="1"/>
    <s v="Travel_Rarely"/>
    <x v="0"/>
    <s v="Current Employees"/>
    <x v="1"/>
    <x v="0"/>
    <s v="STAFF-518"/>
    <n v="518"/>
    <x v="1"/>
    <x v="3"/>
    <x v="0"/>
    <s v="Yes"/>
    <s v="Y"/>
    <n v="2"/>
    <n v="-2"/>
    <n v="0"/>
    <n v="37"/>
    <n v="0"/>
    <m/>
    <n v="0"/>
    <n v="1"/>
    <n v="1305"/>
    <n v="10"/>
    <x v="2"/>
    <n v="1"/>
    <n v="3"/>
    <n v="49"/>
    <n v="3"/>
    <n v="2"/>
    <n v="2"/>
    <n v="4197"/>
    <n v="21123"/>
    <n v="2"/>
    <n v="12"/>
    <n v="3"/>
    <n v="4"/>
    <n v="80"/>
    <n v="0"/>
    <n v="18"/>
    <n v="2"/>
    <n v="1"/>
    <n v="0"/>
    <n v="0"/>
    <n v="1"/>
  </r>
  <r>
    <x v="1"/>
    <s v="Travel_Rarely"/>
    <x v="0"/>
    <s v="Current Employees"/>
    <x v="1"/>
    <x v="0"/>
    <s v="STAFF-520"/>
    <n v="520"/>
    <x v="1"/>
    <x v="7"/>
    <x v="2"/>
    <s v="No"/>
    <s v="Y"/>
    <n v="3"/>
    <n v="-2"/>
    <n v="0"/>
    <n v="43"/>
    <n v="0"/>
    <m/>
    <n v="0"/>
    <n v="1"/>
    <n v="982"/>
    <n v="12"/>
    <x v="3"/>
    <n v="1"/>
    <n v="1"/>
    <n v="59"/>
    <n v="2"/>
    <n v="4"/>
    <n v="2"/>
    <n v="14336"/>
    <n v="4345"/>
    <n v="1"/>
    <n v="11"/>
    <n v="3"/>
    <n v="3"/>
    <n v="80"/>
    <n v="1"/>
    <n v="25"/>
    <n v="3"/>
    <n v="25"/>
    <n v="10"/>
    <n v="3"/>
    <n v="9"/>
  </r>
  <r>
    <x v="1"/>
    <s v="Travel_Rarely"/>
    <x v="0"/>
    <s v="Current Employees"/>
    <x v="1"/>
    <x v="2"/>
    <s v="STAFF-521"/>
    <n v="521"/>
    <x v="0"/>
    <x v="2"/>
    <x v="1"/>
    <s v="No"/>
    <s v="Y"/>
    <n v="3"/>
    <n v="-2"/>
    <n v="0"/>
    <n v="40"/>
    <n v="0"/>
    <m/>
    <n v="0"/>
    <n v="1"/>
    <n v="555"/>
    <n v="2"/>
    <x v="3"/>
    <n v="1"/>
    <n v="2"/>
    <n v="78"/>
    <n v="2"/>
    <n v="2"/>
    <n v="3"/>
    <n v="3448"/>
    <n v="13436"/>
    <n v="6"/>
    <n v="22"/>
    <n v="4"/>
    <n v="2"/>
    <n v="80"/>
    <n v="1"/>
    <n v="20"/>
    <n v="3"/>
    <n v="1"/>
    <n v="0"/>
    <n v="0"/>
    <n v="0"/>
  </r>
  <r>
    <x v="1"/>
    <s v="Travel_Rarely"/>
    <x v="1"/>
    <s v="Current Employees"/>
    <x v="1"/>
    <x v="2"/>
    <s v="STAFF-522"/>
    <n v="522"/>
    <x v="1"/>
    <x v="7"/>
    <x v="1"/>
    <s v="No"/>
    <s v="Y"/>
    <n v="4"/>
    <n v="-2"/>
    <n v="0"/>
    <n v="54"/>
    <n v="0"/>
    <m/>
    <n v="0"/>
    <n v="1"/>
    <n v="821"/>
    <n v="5"/>
    <x v="0"/>
    <n v="1"/>
    <n v="1"/>
    <n v="86"/>
    <n v="3"/>
    <n v="5"/>
    <n v="3"/>
    <n v="19406"/>
    <n v="8509"/>
    <n v="4"/>
    <n v="11"/>
    <n v="3"/>
    <n v="3"/>
    <n v="80"/>
    <n v="1"/>
    <n v="24"/>
    <n v="2"/>
    <n v="4"/>
    <n v="2"/>
    <n v="1"/>
    <n v="2"/>
  </r>
  <r>
    <x v="1"/>
    <s v="Non-Travel"/>
    <x v="2"/>
    <s v="Current Employees"/>
    <x v="0"/>
    <x v="3"/>
    <s v="STAFF-523"/>
    <n v="523"/>
    <x v="0"/>
    <x v="0"/>
    <x v="1"/>
    <s v="No"/>
    <s v="Y"/>
    <n v="3"/>
    <n v="-2"/>
    <n v="0"/>
    <n v="34"/>
    <n v="0"/>
    <m/>
    <n v="0"/>
    <n v="1"/>
    <n v="1381"/>
    <n v="4"/>
    <x v="2"/>
    <n v="1"/>
    <n v="3"/>
    <n v="72"/>
    <n v="3"/>
    <n v="2"/>
    <n v="1"/>
    <n v="6538"/>
    <n v="12740"/>
    <n v="9"/>
    <n v="15"/>
    <n v="3"/>
    <n v="1"/>
    <n v="80"/>
    <n v="1"/>
    <n v="6"/>
    <n v="3"/>
    <n v="3"/>
    <n v="2"/>
    <n v="1"/>
    <n v="2"/>
  </r>
  <r>
    <x v="1"/>
    <s v="Travel_Rarely"/>
    <x v="2"/>
    <s v="Current Employees"/>
    <x v="1"/>
    <x v="2"/>
    <s v="STAFF-524"/>
    <n v="524"/>
    <x v="0"/>
    <x v="3"/>
    <x v="1"/>
    <s v="No"/>
    <s v="Y"/>
    <n v="5"/>
    <n v="-2"/>
    <n v="0"/>
    <n v="31"/>
    <n v="0"/>
    <m/>
    <n v="0"/>
    <n v="1"/>
    <n v="480"/>
    <n v="7"/>
    <x v="0"/>
    <n v="1"/>
    <n v="2"/>
    <n v="31"/>
    <n v="3"/>
    <n v="2"/>
    <n v="3"/>
    <n v="4306"/>
    <n v="4156"/>
    <n v="1"/>
    <n v="12"/>
    <n v="3"/>
    <n v="2"/>
    <n v="80"/>
    <n v="1"/>
    <n v="13"/>
    <n v="1"/>
    <n v="13"/>
    <n v="10"/>
    <n v="3"/>
    <n v="12"/>
  </r>
  <r>
    <x v="1"/>
    <s v="Travel_Frequently"/>
    <x v="0"/>
    <s v="Current Employees"/>
    <x v="1"/>
    <x v="2"/>
    <s v="STAFF-525"/>
    <n v="525"/>
    <x v="1"/>
    <x v="2"/>
    <x v="1"/>
    <s v="No"/>
    <s v="Y"/>
    <n v="1"/>
    <n v="-2"/>
    <n v="0"/>
    <n v="43"/>
    <n v="0"/>
    <m/>
    <n v="0"/>
    <n v="1"/>
    <n v="313"/>
    <n v="21"/>
    <x v="3"/>
    <n v="1"/>
    <n v="4"/>
    <n v="61"/>
    <n v="3"/>
    <n v="1"/>
    <n v="4"/>
    <n v="2258"/>
    <n v="15238"/>
    <n v="7"/>
    <n v="20"/>
    <n v="4"/>
    <n v="1"/>
    <n v="80"/>
    <n v="1"/>
    <n v="8"/>
    <n v="3"/>
    <n v="3"/>
    <n v="2"/>
    <n v="1"/>
    <n v="2"/>
  </r>
  <r>
    <x v="1"/>
    <s v="Travel_Rarely"/>
    <x v="0"/>
    <s v="Current Employees"/>
    <x v="1"/>
    <x v="1"/>
    <s v="STAFF-526"/>
    <n v="526"/>
    <x v="0"/>
    <x v="4"/>
    <x v="2"/>
    <s v="Yes"/>
    <s v="Y"/>
    <n v="3"/>
    <n v="-2"/>
    <n v="0"/>
    <n v="43"/>
    <n v="0"/>
    <m/>
    <n v="0"/>
    <n v="1"/>
    <n v="1473"/>
    <n v="8"/>
    <x v="2"/>
    <n v="1"/>
    <n v="3"/>
    <n v="74"/>
    <n v="3"/>
    <n v="2"/>
    <n v="3"/>
    <n v="4522"/>
    <n v="2227"/>
    <n v="4"/>
    <n v="14"/>
    <n v="3"/>
    <n v="4"/>
    <n v="80"/>
    <n v="0"/>
    <n v="8"/>
    <n v="3"/>
    <n v="5"/>
    <n v="2"/>
    <n v="0"/>
    <n v="2"/>
  </r>
  <r>
    <x v="1"/>
    <s v="Travel_Rarely"/>
    <x v="2"/>
    <s v="Current Employees"/>
    <x v="0"/>
    <x v="0"/>
    <s v="STAFF-527"/>
    <n v="527"/>
    <x v="0"/>
    <x v="0"/>
    <x v="0"/>
    <s v="Yes"/>
    <s v="Y"/>
    <n v="3"/>
    <n v="-2"/>
    <n v="0"/>
    <n v="25"/>
    <n v="0"/>
    <m/>
    <n v="0"/>
    <n v="1"/>
    <n v="891"/>
    <n v="4"/>
    <x v="0"/>
    <n v="1"/>
    <n v="2"/>
    <n v="99"/>
    <n v="2"/>
    <n v="2"/>
    <n v="2"/>
    <n v="4487"/>
    <n v="12090"/>
    <n v="1"/>
    <n v="11"/>
    <n v="3"/>
    <n v="2"/>
    <n v="80"/>
    <n v="0"/>
    <n v="5"/>
    <n v="3"/>
    <n v="5"/>
    <n v="4"/>
    <n v="1"/>
    <n v="3"/>
  </r>
  <r>
    <x v="1"/>
    <s v="Non-Travel"/>
    <x v="0"/>
    <s v="Current Employees"/>
    <x v="1"/>
    <x v="2"/>
    <s v="STAFF-529"/>
    <n v="529"/>
    <x v="0"/>
    <x v="1"/>
    <x v="1"/>
    <s v="Yes"/>
    <s v="Y"/>
    <n v="2"/>
    <n v="-2"/>
    <n v="0"/>
    <n v="37"/>
    <n v="0"/>
    <m/>
    <n v="0"/>
    <n v="1"/>
    <n v="1063"/>
    <n v="25"/>
    <x v="4"/>
    <n v="1"/>
    <n v="2"/>
    <n v="72"/>
    <n v="3"/>
    <n v="2"/>
    <n v="3"/>
    <n v="4449"/>
    <n v="23866"/>
    <n v="3"/>
    <n v="15"/>
    <n v="3"/>
    <n v="1"/>
    <n v="80"/>
    <n v="2"/>
    <n v="15"/>
    <n v="3"/>
    <n v="13"/>
    <n v="11"/>
    <n v="10"/>
    <n v="7"/>
  </r>
  <r>
    <x v="1"/>
    <s v="Travel_Rarely"/>
    <x v="2"/>
    <s v="Current Employees"/>
    <x v="1"/>
    <x v="0"/>
    <s v="STAFF-530"/>
    <n v="530"/>
    <x v="1"/>
    <x v="2"/>
    <x v="1"/>
    <s v="No"/>
    <s v="Y"/>
    <n v="3"/>
    <n v="-2"/>
    <n v="0"/>
    <n v="31"/>
    <n v="0"/>
    <m/>
    <n v="0"/>
    <n v="1"/>
    <n v="329"/>
    <n v="1"/>
    <x v="0"/>
    <n v="1"/>
    <n v="4"/>
    <n v="98"/>
    <n v="2"/>
    <n v="1"/>
    <n v="2"/>
    <n v="2218"/>
    <n v="16193"/>
    <n v="1"/>
    <n v="12"/>
    <n v="3"/>
    <n v="3"/>
    <n v="80"/>
    <n v="1"/>
    <n v="4"/>
    <n v="3"/>
    <n v="4"/>
    <n v="2"/>
    <n v="3"/>
    <n v="2"/>
  </r>
  <r>
    <x v="1"/>
    <s v="Travel_Frequently"/>
    <x v="0"/>
    <s v="Current Employees"/>
    <x v="1"/>
    <x v="0"/>
    <s v="STAFF-531"/>
    <n v="531"/>
    <x v="1"/>
    <x v="5"/>
    <x v="2"/>
    <s v="Yes"/>
    <s v="Y"/>
    <n v="3"/>
    <n v="-2"/>
    <n v="0"/>
    <n v="39"/>
    <n v="0"/>
    <m/>
    <n v="0"/>
    <n v="1"/>
    <n v="1218"/>
    <n v="1"/>
    <x v="1"/>
    <n v="1"/>
    <n v="2"/>
    <n v="52"/>
    <n v="3"/>
    <n v="5"/>
    <n v="2"/>
    <n v="19197"/>
    <n v="8213"/>
    <n v="1"/>
    <n v="14"/>
    <n v="3"/>
    <n v="3"/>
    <n v="80"/>
    <n v="1"/>
    <n v="21"/>
    <n v="3"/>
    <n v="21"/>
    <n v="8"/>
    <n v="1"/>
    <n v="6"/>
  </r>
  <r>
    <x v="1"/>
    <s v="Travel_Frequently"/>
    <x v="3"/>
    <s v="Current Employees"/>
    <x v="0"/>
    <x v="0"/>
    <s v="STAFF-532"/>
    <n v="532"/>
    <x v="0"/>
    <x v="0"/>
    <x v="1"/>
    <s v="No"/>
    <s v="Y"/>
    <n v="0"/>
    <n v="-2"/>
    <n v="0"/>
    <n v="56"/>
    <n v="0"/>
    <m/>
    <n v="0"/>
    <n v="1"/>
    <n v="906"/>
    <n v="6"/>
    <x v="3"/>
    <n v="1"/>
    <n v="3"/>
    <n v="86"/>
    <n v="4"/>
    <n v="4"/>
    <n v="2"/>
    <n v="13212"/>
    <n v="18256"/>
    <n v="9"/>
    <n v="11"/>
    <n v="3"/>
    <n v="4"/>
    <n v="80"/>
    <n v="3"/>
    <n v="36"/>
    <n v="2"/>
    <n v="7"/>
    <n v="7"/>
    <n v="7"/>
    <n v="7"/>
  </r>
  <r>
    <x v="1"/>
    <s v="Travel_Rarely"/>
    <x v="2"/>
    <s v="Current Employees"/>
    <x v="0"/>
    <x v="4"/>
    <s v="STAFF-533"/>
    <n v="533"/>
    <x v="0"/>
    <x v="0"/>
    <x v="0"/>
    <s v="No"/>
    <s v="Y"/>
    <n v="6"/>
    <n v="-2"/>
    <n v="0"/>
    <n v="30"/>
    <n v="0"/>
    <m/>
    <n v="0"/>
    <n v="1"/>
    <n v="1082"/>
    <n v="12"/>
    <x v="3"/>
    <n v="1"/>
    <n v="4"/>
    <n v="83"/>
    <n v="3"/>
    <n v="2"/>
    <n v="4"/>
    <n v="6577"/>
    <n v="19558"/>
    <n v="0"/>
    <n v="11"/>
    <n v="3"/>
    <n v="2"/>
    <n v="80"/>
    <n v="0"/>
    <n v="6"/>
    <n v="3"/>
    <n v="5"/>
    <n v="4"/>
    <n v="4"/>
    <n v="4"/>
  </r>
  <r>
    <x v="1"/>
    <s v="Travel_Rarely"/>
    <x v="0"/>
    <s v="Current Employees"/>
    <x v="0"/>
    <x v="3"/>
    <s v="STAFF-534"/>
    <n v="534"/>
    <x v="1"/>
    <x v="0"/>
    <x v="1"/>
    <s v="No"/>
    <s v="Y"/>
    <n v="2"/>
    <n v="-2"/>
    <n v="0"/>
    <n v="41"/>
    <n v="0"/>
    <m/>
    <n v="0"/>
    <n v="1"/>
    <n v="645"/>
    <n v="1"/>
    <x v="3"/>
    <n v="1"/>
    <n v="2"/>
    <n v="49"/>
    <n v="4"/>
    <n v="3"/>
    <n v="1"/>
    <n v="8392"/>
    <n v="19566"/>
    <n v="1"/>
    <n v="16"/>
    <n v="3"/>
    <n v="3"/>
    <n v="80"/>
    <n v="1"/>
    <n v="10"/>
    <n v="3"/>
    <n v="10"/>
    <n v="7"/>
    <n v="0"/>
    <n v="7"/>
  </r>
  <r>
    <x v="1"/>
    <s v="Travel_Rarely"/>
    <x v="2"/>
    <s v="Current Employees"/>
    <x v="1"/>
    <x v="2"/>
    <s v="STAFF-536"/>
    <n v="536"/>
    <x v="1"/>
    <x v="2"/>
    <x v="2"/>
    <s v="No"/>
    <s v="Y"/>
    <n v="2"/>
    <n v="-2"/>
    <n v="0"/>
    <n v="28"/>
    <n v="0"/>
    <m/>
    <n v="0"/>
    <n v="1"/>
    <n v="1300"/>
    <n v="17"/>
    <x v="0"/>
    <n v="1"/>
    <n v="3"/>
    <n v="79"/>
    <n v="3"/>
    <n v="2"/>
    <n v="3"/>
    <n v="4558"/>
    <n v="13535"/>
    <n v="1"/>
    <n v="12"/>
    <n v="3"/>
    <n v="4"/>
    <n v="80"/>
    <n v="1"/>
    <n v="10"/>
    <n v="3"/>
    <n v="10"/>
    <n v="0"/>
    <n v="1"/>
    <n v="8"/>
  </r>
  <r>
    <x v="0"/>
    <s v="Travel_Rarely"/>
    <x v="2"/>
    <s v="Ex-Employees"/>
    <x v="1"/>
    <x v="2"/>
    <s v="STAFF-538"/>
    <n v="538"/>
    <x v="1"/>
    <x v="2"/>
    <x v="1"/>
    <s v="No"/>
    <s v="Y"/>
    <n v="5"/>
    <n v="-2"/>
    <n v="0"/>
    <n v="25"/>
    <n v="1"/>
    <n v="1"/>
    <n v="1"/>
    <n v="0"/>
    <n v="688"/>
    <n v="3"/>
    <x v="3"/>
    <n v="1"/>
    <n v="1"/>
    <n v="91"/>
    <n v="3"/>
    <n v="1"/>
    <n v="3"/>
    <n v="4031"/>
    <n v="9396"/>
    <n v="5"/>
    <n v="13"/>
    <n v="3"/>
    <n v="3"/>
    <n v="80"/>
    <n v="1"/>
    <n v="6"/>
    <n v="3"/>
    <n v="2"/>
    <n v="2"/>
    <n v="0"/>
    <n v="2"/>
  </r>
  <r>
    <x v="1"/>
    <s v="Travel_Rarely"/>
    <x v="1"/>
    <s v="Current Employees"/>
    <x v="1"/>
    <x v="2"/>
    <s v="STAFF-543"/>
    <n v="543"/>
    <x v="1"/>
    <x v="3"/>
    <x v="1"/>
    <s v="Yes"/>
    <s v="Y"/>
    <n v="4"/>
    <n v="-2"/>
    <n v="0"/>
    <n v="52"/>
    <n v="0"/>
    <m/>
    <n v="0"/>
    <n v="1"/>
    <n v="319"/>
    <n v="3"/>
    <x v="3"/>
    <n v="1"/>
    <n v="4"/>
    <n v="39"/>
    <n v="2"/>
    <n v="3"/>
    <n v="3"/>
    <n v="7969"/>
    <n v="19609"/>
    <n v="2"/>
    <n v="14"/>
    <n v="3"/>
    <n v="3"/>
    <n v="80"/>
    <n v="0"/>
    <n v="28"/>
    <n v="3"/>
    <n v="5"/>
    <n v="4"/>
    <n v="0"/>
    <n v="4"/>
  </r>
  <r>
    <x v="1"/>
    <s v="Travel_Rarely"/>
    <x v="1"/>
    <s v="Current Employees"/>
    <x v="1"/>
    <x v="0"/>
    <s v="STAFF-544"/>
    <n v="544"/>
    <x v="1"/>
    <x v="1"/>
    <x v="1"/>
    <s v="No"/>
    <s v="Y"/>
    <n v="3"/>
    <n v="-2"/>
    <n v="0"/>
    <n v="45"/>
    <n v="0"/>
    <m/>
    <n v="0"/>
    <n v="1"/>
    <n v="192"/>
    <n v="10"/>
    <x v="0"/>
    <n v="1"/>
    <n v="1"/>
    <n v="69"/>
    <n v="3"/>
    <n v="1"/>
    <n v="2"/>
    <n v="2654"/>
    <n v="9655"/>
    <n v="3"/>
    <n v="21"/>
    <n v="4"/>
    <n v="4"/>
    <n v="80"/>
    <n v="2"/>
    <n v="8"/>
    <n v="2"/>
    <n v="2"/>
    <n v="2"/>
    <n v="0"/>
    <n v="2"/>
  </r>
  <r>
    <x v="1"/>
    <s v="Travel_Rarely"/>
    <x v="1"/>
    <s v="Current Employees"/>
    <x v="1"/>
    <x v="0"/>
    <s v="STAFF-546"/>
    <n v="546"/>
    <x v="0"/>
    <x v="5"/>
    <x v="1"/>
    <s v="No"/>
    <s v="Y"/>
    <n v="2"/>
    <n v="-2"/>
    <n v="0"/>
    <n v="52"/>
    <n v="0"/>
    <m/>
    <n v="0"/>
    <n v="1"/>
    <n v="1490"/>
    <n v="4"/>
    <x v="0"/>
    <n v="1"/>
    <n v="4"/>
    <n v="30"/>
    <n v="3"/>
    <n v="4"/>
    <n v="2"/>
    <n v="16555"/>
    <n v="10310"/>
    <n v="2"/>
    <n v="13"/>
    <n v="3"/>
    <n v="4"/>
    <n v="80"/>
    <n v="0"/>
    <n v="31"/>
    <n v="1"/>
    <n v="5"/>
    <n v="2"/>
    <n v="1"/>
    <n v="4"/>
  </r>
  <r>
    <x v="1"/>
    <s v="Travel_Frequently"/>
    <x v="0"/>
    <s v="Current Employees"/>
    <x v="1"/>
    <x v="0"/>
    <s v="STAFF-547"/>
    <n v="547"/>
    <x v="0"/>
    <x v="1"/>
    <x v="2"/>
    <s v="No"/>
    <s v="Y"/>
    <n v="3"/>
    <n v="-2"/>
    <n v="0"/>
    <n v="42"/>
    <n v="0"/>
    <m/>
    <n v="0"/>
    <n v="1"/>
    <n v="532"/>
    <n v="29"/>
    <x v="0"/>
    <n v="1"/>
    <n v="1"/>
    <n v="92"/>
    <n v="3"/>
    <n v="2"/>
    <n v="2"/>
    <n v="4556"/>
    <n v="12932"/>
    <n v="2"/>
    <n v="11"/>
    <n v="3"/>
    <n v="2"/>
    <n v="80"/>
    <n v="1"/>
    <n v="19"/>
    <n v="3"/>
    <n v="5"/>
    <n v="4"/>
    <n v="0"/>
    <n v="2"/>
  </r>
  <r>
    <x v="1"/>
    <s v="Travel_Rarely"/>
    <x v="2"/>
    <s v="Current Employees"/>
    <x v="1"/>
    <x v="0"/>
    <s v="STAFF-548"/>
    <n v="548"/>
    <x v="0"/>
    <x v="3"/>
    <x v="0"/>
    <s v="No"/>
    <s v="Y"/>
    <n v="2"/>
    <n v="-2"/>
    <n v="0"/>
    <n v="30"/>
    <n v="0"/>
    <m/>
    <n v="0"/>
    <n v="1"/>
    <n v="317"/>
    <n v="2"/>
    <x v="3"/>
    <n v="1"/>
    <n v="3"/>
    <n v="43"/>
    <n v="1"/>
    <n v="2"/>
    <n v="2"/>
    <n v="6091"/>
    <n v="24793"/>
    <n v="2"/>
    <n v="20"/>
    <n v="4"/>
    <n v="3"/>
    <n v="80"/>
    <n v="0"/>
    <n v="11"/>
    <n v="3"/>
    <n v="5"/>
    <n v="4"/>
    <n v="0"/>
    <n v="2"/>
  </r>
  <r>
    <x v="1"/>
    <s v="Travel_Rarely"/>
    <x v="3"/>
    <s v="Current Employees"/>
    <x v="1"/>
    <x v="0"/>
    <s v="STAFF-549"/>
    <n v="549"/>
    <x v="0"/>
    <x v="5"/>
    <x v="1"/>
    <s v="No"/>
    <s v="Y"/>
    <n v="5"/>
    <n v="-2"/>
    <n v="0"/>
    <n v="60"/>
    <n v="0"/>
    <m/>
    <n v="0"/>
    <n v="1"/>
    <n v="422"/>
    <n v="7"/>
    <x v="3"/>
    <n v="1"/>
    <n v="1"/>
    <n v="41"/>
    <n v="3"/>
    <n v="5"/>
    <n v="2"/>
    <n v="19566"/>
    <n v="3854"/>
    <n v="5"/>
    <n v="11"/>
    <n v="3"/>
    <n v="4"/>
    <n v="80"/>
    <n v="0"/>
    <n v="33"/>
    <n v="1"/>
    <n v="29"/>
    <n v="8"/>
    <n v="11"/>
    <n v="10"/>
  </r>
  <r>
    <x v="1"/>
    <s v="Travel_Rarely"/>
    <x v="1"/>
    <s v="Current Employees"/>
    <x v="1"/>
    <x v="2"/>
    <s v="STAFF-550"/>
    <n v="550"/>
    <x v="0"/>
    <x v="3"/>
    <x v="2"/>
    <s v="No"/>
    <s v="Y"/>
    <n v="5"/>
    <n v="-2"/>
    <n v="0"/>
    <n v="46"/>
    <n v="0"/>
    <m/>
    <n v="0"/>
    <n v="1"/>
    <n v="1485"/>
    <n v="18"/>
    <x v="3"/>
    <n v="1"/>
    <n v="3"/>
    <n v="87"/>
    <n v="3"/>
    <n v="2"/>
    <n v="3"/>
    <n v="4810"/>
    <n v="26314"/>
    <n v="2"/>
    <n v="14"/>
    <n v="3"/>
    <n v="3"/>
    <n v="80"/>
    <n v="1"/>
    <n v="19"/>
    <n v="2"/>
    <n v="10"/>
    <n v="7"/>
    <n v="0"/>
    <n v="8"/>
  </r>
  <r>
    <x v="1"/>
    <s v="Travel_Frequently"/>
    <x v="0"/>
    <s v="Current Employees"/>
    <x v="1"/>
    <x v="4"/>
    <s v="STAFF-551"/>
    <n v="551"/>
    <x v="0"/>
    <x v="4"/>
    <x v="1"/>
    <s v="No"/>
    <s v="Y"/>
    <n v="4"/>
    <n v="-2"/>
    <n v="0"/>
    <n v="42"/>
    <n v="0"/>
    <m/>
    <n v="0"/>
    <n v="1"/>
    <n v="1368"/>
    <n v="28"/>
    <x v="2"/>
    <n v="1"/>
    <n v="4"/>
    <n v="88"/>
    <n v="2"/>
    <n v="2"/>
    <n v="4"/>
    <n v="4523"/>
    <n v="4386"/>
    <n v="0"/>
    <n v="11"/>
    <n v="3"/>
    <n v="4"/>
    <n v="80"/>
    <n v="3"/>
    <n v="7"/>
    <n v="4"/>
    <n v="6"/>
    <n v="5"/>
    <n v="0"/>
    <n v="4"/>
  </r>
  <r>
    <x v="0"/>
    <s v="Travel_Rarely"/>
    <x v="4"/>
    <s v="Ex-Employees"/>
    <x v="0"/>
    <x v="4"/>
    <s v="STAFF-554"/>
    <n v="554"/>
    <x v="0"/>
    <x v="6"/>
    <x v="0"/>
    <s v="Yes"/>
    <s v="Y"/>
    <n v="4"/>
    <n v="-2"/>
    <n v="0"/>
    <n v="24"/>
    <n v="1"/>
    <n v="1"/>
    <n v="1"/>
    <n v="0"/>
    <n v="1448"/>
    <n v="1"/>
    <x v="1"/>
    <n v="1"/>
    <n v="4"/>
    <n v="62"/>
    <n v="3"/>
    <n v="1"/>
    <n v="4"/>
    <n v="3202"/>
    <n v="21972"/>
    <n v="1"/>
    <n v="16"/>
    <n v="3"/>
    <n v="2"/>
    <n v="80"/>
    <n v="0"/>
    <n v="6"/>
    <n v="3"/>
    <n v="5"/>
    <n v="3"/>
    <n v="1"/>
    <n v="4"/>
  </r>
  <r>
    <x v="0"/>
    <s v="Travel_Frequently"/>
    <x v="2"/>
    <s v="Ex-Employees"/>
    <x v="0"/>
    <x v="3"/>
    <s v="STAFF-555"/>
    <n v="555"/>
    <x v="0"/>
    <x v="6"/>
    <x v="2"/>
    <s v="No"/>
    <s v="Y"/>
    <n v="3"/>
    <n v="-2"/>
    <n v="0"/>
    <n v="34"/>
    <n v="1"/>
    <n v="1"/>
    <n v="1"/>
    <n v="0"/>
    <n v="296"/>
    <n v="6"/>
    <x v="0"/>
    <n v="1"/>
    <n v="4"/>
    <n v="33"/>
    <n v="1"/>
    <n v="1"/>
    <n v="1"/>
    <n v="2351"/>
    <n v="12253"/>
    <n v="0"/>
    <n v="16"/>
    <n v="3"/>
    <n v="4"/>
    <n v="80"/>
    <n v="1"/>
    <n v="3"/>
    <n v="2"/>
    <n v="2"/>
    <n v="2"/>
    <n v="1"/>
    <n v="0"/>
  </r>
  <r>
    <x v="1"/>
    <s v="Travel_Frequently"/>
    <x v="0"/>
    <s v="Current Employees"/>
    <x v="1"/>
    <x v="0"/>
    <s v="STAFF-556"/>
    <n v="556"/>
    <x v="1"/>
    <x v="2"/>
    <x v="1"/>
    <s v="Yes"/>
    <s v="Y"/>
    <n v="3"/>
    <n v="-2"/>
    <n v="0"/>
    <n v="38"/>
    <n v="0"/>
    <m/>
    <n v="0"/>
    <n v="1"/>
    <n v="1490"/>
    <n v="2"/>
    <x v="0"/>
    <n v="1"/>
    <n v="4"/>
    <n v="42"/>
    <n v="3"/>
    <n v="1"/>
    <n v="2"/>
    <n v="1702"/>
    <n v="12106"/>
    <n v="1"/>
    <n v="23"/>
    <n v="4"/>
    <n v="3"/>
    <n v="80"/>
    <n v="1"/>
    <n v="1"/>
    <n v="3"/>
    <n v="1"/>
    <n v="0"/>
    <n v="0"/>
    <n v="0"/>
  </r>
  <r>
    <x v="1"/>
    <s v="Travel_Rarely"/>
    <x v="0"/>
    <s v="Current Employees"/>
    <x v="0"/>
    <x v="0"/>
    <s v="STAFF-558"/>
    <n v="558"/>
    <x v="0"/>
    <x v="5"/>
    <x v="1"/>
    <s v="No"/>
    <s v="Y"/>
    <n v="2"/>
    <n v="-2"/>
    <n v="0"/>
    <n v="40"/>
    <n v="0"/>
    <m/>
    <n v="0"/>
    <n v="1"/>
    <n v="1398"/>
    <n v="2"/>
    <x v="2"/>
    <n v="1"/>
    <n v="3"/>
    <n v="79"/>
    <n v="3"/>
    <n v="5"/>
    <n v="2"/>
    <n v="18041"/>
    <n v="13022"/>
    <n v="0"/>
    <n v="14"/>
    <n v="3"/>
    <n v="4"/>
    <n v="80"/>
    <n v="0"/>
    <n v="21"/>
    <n v="3"/>
    <n v="20"/>
    <n v="15"/>
    <n v="1"/>
    <n v="12"/>
  </r>
  <r>
    <x v="1"/>
    <s v="Travel_Rarely"/>
    <x v="2"/>
    <s v="Current Employees"/>
    <x v="1"/>
    <x v="0"/>
    <s v="STAFF-560"/>
    <n v="560"/>
    <x v="0"/>
    <x v="1"/>
    <x v="2"/>
    <s v="No"/>
    <s v="Y"/>
    <n v="3"/>
    <n v="-2"/>
    <n v="0"/>
    <n v="26"/>
    <n v="0"/>
    <m/>
    <n v="0"/>
    <n v="1"/>
    <n v="1349"/>
    <n v="23"/>
    <x v="3"/>
    <n v="1"/>
    <n v="1"/>
    <n v="90"/>
    <n v="3"/>
    <n v="1"/>
    <n v="2"/>
    <n v="2886"/>
    <n v="3032"/>
    <n v="1"/>
    <n v="22"/>
    <n v="4"/>
    <n v="2"/>
    <n v="80"/>
    <n v="2"/>
    <n v="3"/>
    <n v="1"/>
    <n v="3"/>
    <n v="2"/>
    <n v="0"/>
    <n v="2"/>
  </r>
  <r>
    <x v="1"/>
    <s v="Non-Travel"/>
    <x v="2"/>
    <s v="Current Employees"/>
    <x v="1"/>
    <x v="0"/>
    <s v="STAFF-562"/>
    <n v="562"/>
    <x v="1"/>
    <x v="2"/>
    <x v="1"/>
    <s v="No"/>
    <s v="Y"/>
    <n v="3"/>
    <n v="-2"/>
    <n v="0"/>
    <n v="30"/>
    <n v="0"/>
    <m/>
    <n v="0"/>
    <n v="1"/>
    <n v="1400"/>
    <n v="3"/>
    <x v="3"/>
    <n v="1"/>
    <n v="3"/>
    <n v="53"/>
    <n v="3"/>
    <n v="1"/>
    <n v="2"/>
    <n v="2097"/>
    <n v="16734"/>
    <n v="4"/>
    <n v="15"/>
    <n v="3"/>
    <n v="3"/>
    <n v="80"/>
    <n v="1"/>
    <n v="9"/>
    <n v="1"/>
    <n v="5"/>
    <n v="3"/>
    <n v="1"/>
    <n v="4"/>
  </r>
  <r>
    <x v="1"/>
    <s v="Travel_Rarely"/>
    <x v="2"/>
    <s v="Current Employees"/>
    <x v="1"/>
    <x v="2"/>
    <s v="STAFF-564"/>
    <n v="564"/>
    <x v="1"/>
    <x v="7"/>
    <x v="1"/>
    <s v="No"/>
    <s v="Y"/>
    <n v="2"/>
    <n v="-2"/>
    <n v="0"/>
    <n v="29"/>
    <n v="0"/>
    <m/>
    <n v="0"/>
    <n v="1"/>
    <n v="986"/>
    <n v="3"/>
    <x v="2"/>
    <n v="1"/>
    <n v="2"/>
    <n v="93"/>
    <n v="2"/>
    <n v="3"/>
    <n v="3"/>
    <n v="11935"/>
    <n v="21526"/>
    <n v="1"/>
    <n v="18"/>
    <n v="3"/>
    <n v="3"/>
    <n v="80"/>
    <n v="0"/>
    <n v="10"/>
    <n v="3"/>
    <n v="10"/>
    <n v="2"/>
    <n v="0"/>
    <n v="7"/>
  </r>
  <r>
    <x v="0"/>
    <s v="Travel_Rarely"/>
    <x v="2"/>
    <s v="Ex-Employees"/>
    <x v="1"/>
    <x v="4"/>
    <s v="STAFF-565"/>
    <n v="565"/>
    <x v="0"/>
    <x v="1"/>
    <x v="1"/>
    <s v="No"/>
    <s v="Y"/>
    <n v="2"/>
    <n v="-2"/>
    <n v="0"/>
    <n v="29"/>
    <n v="1"/>
    <n v="1"/>
    <n v="1"/>
    <n v="0"/>
    <n v="408"/>
    <n v="25"/>
    <x v="4"/>
    <n v="1"/>
    <n v="4"/>
    <n v="71"/>
    <n v="2"/>
    <n v="1"/>
    <n v="4"/>
    <n v="2546"/>
    <n v="18300"/>
    <n v="5"/>
    <n v="16"/>
    <n v="3"/>
    <n v="2"/>
    <n v="80"/>
    <n v="0"/>
    <n v="6"/>
    <n v="4"/>
    <n v="2"/>
    <n v="2"/>
    <n v="1"/>
    <n v="1"/>
  </r>
  <r>
    <x v="0"/>
    <s v="Travel_Rarely"/>
    <x v="4"/>
    <s v="Ex-Employees"/>
    <x v="2"/>
    <x v="4"/>
    <s v="STAFF-566"/>
    <n v="566"/>
    <x v="1"/>
    <x v="8"/>
    <x v="0"/>
    <s v="No"/>
    <s v="Y"/>
    <n v="3"/>
    <n v="-2"/>
    <n v="0"/>
    <n v="19"/>
    <n v="1"/>
    <n v="1"/>
    <n v="1"/>
    <n v="0"/>
    <n v="489"/>
    <n v="2"/>
    <x v="0"/>
    <n v="1"/>
    <n v="4"/>
    <n v="52"/>
    <n v="2"/>
    <n v="1"/>
    <n v="4"/>
    <n v="2564"/>
    <n v="18437"/>
    <n v="1"/>
    <n v="12"/>
    <n v="3"/>
    <n v="3"/>
    <n v="80"/>
    <n v="0"/>
    <n v="1"/>
    <n v="4"/>
    <n v="1"/>
    <n v="0"/>
    <n v="0"/>
    <n v="0"/>
  </r>
  <r>
    <x v="1"/>
    <s v="Non-Travel"/>
    <x v="2"/>
    <s v="Current Employees"/>
    <x v="0"/>
    <x v="1"/>
    <s v="STAFF-567"/>
    <n v="567"/>
    <x v="0"/>
    <x v="0"/>
    <x v="1"/>
    <s v="No"/>
    <s v="Y"/>
    <n v="3"/>
    <n v="-2"/>
    <n v="0"/>
    <n v="30"/>
    <n v="0"/>
    <m/>
    <n v="0"/>
    <n v="1"/>
    <n v="1398"/>
    <n v="22"/>
    <x v="2"/>
    <n v="1"/>
    <n v="3"/>
    <n v="69"/>
    <n v="3"/>
    <n v="3"/>
    <n v="3"/>
    <n v="8412"/>
    <n v="2890"/>
    <n v="0"/>
    <n v="11"/>
    <n v="3"/>
    <n v="3"/>
    <n v="80"/>
    <n v="0"/>
    <n v="10"/>
    <n v="3"/>
    <n v="9"/>
    <n v="8"/>
    <n v="7"/>
    <n v="8"/>
  </r>
  <r>
    <x v="1"/>
    <s v="Travel_Rarely"/>
    <x v="3"/>
    <s v="Current Employees"/>
    <x v="0"/>
    <x v="3"/>
    <s v="STAFF-568"/>
    <n v="568"/>
    <x v="1"/>
    <x v="5"/>
    <x v="2"/>
    <s v="No"/>
    <s v="Y"/>
    <n v="3"/>
    <n v="-2"/>
    <n v="0"/>
    <n v="57"/>
    <n v="0"/>
    <m/>
    <n v="0"/>
    <n v="1"/>
    <n v="210"/>
    <n v="29"/>
    <x v="3"/>
    <n v="1"/>
    <n v="1"/>
    <n v="56"/>
    <n v="2"/>
    <n v="4"/>
    <n v="1"/>
    <n v="14118"/>
    <n v="22102"/>
    <n v="3"/>
    <n v="12"/>
    <n v="3"/>
    <n v="3"/>
    <n v="80"/>
    <n v="1"/>
    <n v="32"/>
    <n v="2"/>
    <n v="1"/>
    <n v="0"/>
    <n v="0"/>
    <n v="0"/>
  </r>
  <r>
    <x v="1"/>
    <s v="Travel_Rarely"/>
    <x v="1"/>
    <s v="Current Employees"/>
    <x v="1"/>
    <x v="0"/>
    <s v="STAFF-569"/>
    <n v="569"/>
    <x v="1"/>
    <x v="5"/>
    <x v="1"/>
    <s v="No"/>
    <s v="Y"/>
    <n v="2"/>
    <n v="-2"/>
    <n v="0"/>
    <n v="50"/>
    <n v="0"/>
    <m/>
    <n v="0"/>
    <n v="1"/>
    <n v="1099"/>
    <n v="29"/>
    <x v="2"/>
    <n v="1"/>
    <n v="2"/>
    <n v="88"/>
    <n v="2"/>
    <n v="4"/>
    <n v="2"/>
    <n v="17046"/>
    <n v="9314"/>
    <n v="0"/>
    <n v="15"/>
    <n v="3"/>
    <n v="2"/>
    <n v="80"/>
    <n v="1"/>
    <n v="28"/>
    <n v="3"/>
    <n v="27"/>
    <n v="10"/>
    <n v="15"/>
    <n v="7"/>
  </r>
  <r>
    <x v="1"/>
    <s v="Non-Travel"/>
    <x v="2"/>
    <s v="Current Employees"/>
    <x v="1"/>
    <x v="2"/>
    <s v="STAFF-571"/>
    <n v="571"/>
    <x v="0"/>
    <x v="2"/>
    <x v="0"/>
    <s v="No"/>
    <s v="Y"/>
    <n v="2"/>
    <n v="-2"/>
    <n v="0"/>
    <n v="30"/>
    <n v="0"/>
    <m/>
    <n v="0"/>
    <n v="1"/>
    <n v="1116"/>
    <n v="2"/>
    <x v="3"/>
    <n v="1"/>
    <n v="3"/>
    <n v="49"/>
    <n v="3"/>
    <n v="1"/>
    <n v="4"/>
    <n v="2564"/>
    <n v="7181"/>
    <n v="0"/>
    <n v="14"/>
    <n v="3"/>
    <n v="3"/>
    <n v="80"/>
    <n v="0"/>
    <n v="12"/>
    <n v="2"/>
    <n v="11"/>
    <n v="7"/>
    <n v="6"/>
    <n v="7"/>
  </r>
  <r>
    <x v="1"/>
    <s v="Travel_Frequently"/>
    <x v="3"/>
    <s v="Current Employees"/>
    <x v="0"/>
    <x v="3"/>
    <s v="STAFF-573"/>
    <n v="573"/>
    <x v="0"/>
    <x v="0"/>
    <x v="1"/>
    <s v="No"/>
    <s v="Y"/>
    <n v="5"/>
    <n v="-2"/>
    <n v="0"/>
    <n v="60"/>
    <n v="0"/>
    <m/>
    <n v="0"/>
    <n v="1"/>
    <n v="1499"/>
    <n v="28"/>
    <x v="3"/>
    <n v="1"/>
    <n v="3"/>
    <n v="80"/>
    <n v="2"/>
    <n v="3"/>
    <n v="1"/>
    <n v="10266"/>
    <n v="2845"/>
    <n v="4"/>
    <n v="19"/>
    <n v="3"/>
    <n v="4"/>
    <n v="80"/>
    <n v="0"/>
    <n v="22"/>
    <n v="4"/>
    <n v="18"/>
    <n v="13"/>
    <n v="13"/>
    <n v="11"/>
  </r>
  <r>
    <x v="1"/>
    <s v="Travel_Rarely"/>
    <x v="1"/>
    <s v="Current Employees"/>
    <x v="1"/>
    <x v="2"/>
    <s v="STAFF-574"/>
    <n v="574"/>
    <x v="0"/>
    <x v="3"/>
    <x v="2"/>
    <s v="No"/>
    <s v="Y"/>
    <n v="2"/>
    <n v="-2"/>
    <n v="0"/>
    <n v="47"/>
    <n v="0"/>
    <m/>
    <n v="0"/>
    <n v="1"/>
    <n v="983"/>
    <n v="2"/>
    <x v="0"/>
    <n v="1"/>
    <n v="1"/>
    <n v="65"/>
    <n v="3"/>
    <n v="2"/>
    <n v="4"/>
    <n v="5070"/>
    <n v="7389"/>
    <n v="5"/>
    <n v="13"/>
    <n v="3"/>
    <n v="3"/>
    <n v="80"/>
    <n v="3"/>
    <n v="20"/>
    <n v="3"/>
    <n v="5"/>
    <n v="0"/>
    <n v="0"/>
    <n v="4"/>
  </r>
  <r>
    <x v="1"/>
    <s v="Travel_Rarely"/>
    <x v="1"/>
    <s v="Current Employees"/>
    <x v="1"/>
    <x v="0"/>
    <s v="STAFF-575"/>
    <n v="575"/>
    <x v="1"/>
    <x v="7"/>
    <x v="1"/>
    <s v="No"/>
    <s v="Y"/>
    <n v="2"/>
    <n v="-2"/>
    <n v="0"/>
    <n v="46"/>
    <n v="0"/>
    <m/>
    <n v="0"/>
    <n v="1"/>
    <n v="1009"/>
    <n v="2"/>
    <x v="3"/>
    <n v="1"/>
    <n v="1"/>
    <n v="51"/>
    <n v="3"/>
    <n v="4"/>
    <n v="2"/>
    <n v="17861"/>
    <n v="2288"/>
    <n v="6"/>
    <n v="13"/>
    <n v="3"/>
    <n v="3"/>
    <n v="80"/>
    <n v="0"/>
    <n v="26"/>
    <n v="1"/>
    <n v="3"/>
    <n v="2"/>
    <n v="0"/>
    <n v="1"/>
  </r>
  <r>
    <x v="1"/>
    <s v="Travel_Rarely"/>
    <x v="0"/>
    <s v="Current Employees"/>
    <x v="1"/>
    <x v="0"/>
    <s v="STAFF-577"/>
    <n v="577"/>
    <x v="1"/>
    <x v="2"/>
    <x v="0"/>
    <s v="No"/>
    <s v="Y"/>
    <n v="2"/>
    <n v="-2"/>
    <n v="0"/>
    <n v="35"/>
    <n v="0"/>
    <m/>
    <n v="0"/>
    <n v="1"/>
    <n v="144"/>
    <n v="22"/>
    <x v="3"/>
    <n v="1"/>
    <n v="4"/>
    <n v="46"/>
    <n v="1"/>
    <n v="1"/>
    <n v="2"/>
    <n v="4230"/>
    <n v="19225"/>
    <n v="0"/>
    <n v="15"/>
    <n v="3"/>
    <n v="3"/>
    <n v="80"/>
    <n v="0"/>
    <n v="6"/>
    <n v="3"/>
    <n v="5"/>
    <n v="4"/>
    <n v="4"/>
    <n v="3"/>
  </r>
  <r>
    <x v="1"/>
    <s v="Travel_Rarely"/>
    <x v="1"/>
    <s v="Current Employees"/>
    <x v="1"/>
    <x v="0"/>
    <s v="STAFF-578"/>
    <n v="578"/>
    <x v="0"/>
    <x v="2"/>
    <x v="0"/>
    <s v="No"/>
    <s v="Y"/>
    <n v="3"/>
    <n v="-2"/>
    <n v="0"/>
    <n v="54"/>
    <n v="0"/>
    <m/>
    <n v="0"/>
    <n v="1"/>
    <n v="548"/>
    <n v="8"/>
    <x v="2"/>
    <n v="1"/>
    <n v="3"/>
    <n v="42"/>
    <n v="3"/>
    <n v="2"/>
    <n v="2"/>
    <n v="3780"/>
    <n v="23428"/>
    <n v="7"/>
    <n v="11"/>
    <n v="3"/>
    <n v="3"/>
    <n v="80"/>
    <n v="0"/>
    <n v="19"/>
    <n v="3"/>
    <n v="1"/>
    <n v="0"/>
    <n v="0"/>
    <n v="0"/>
  </r>
  <r>
    <x v="1"/>
    <s v="Travel_Rarely"/>
    <x v="2"/>
    <s v="Current Employees"/>
    <x v="1"/>
    <x v="0"/>
    <s v="STAFF-579"/>
    <n v="579"/>
    <x v="1"/>
    <x v="1"/>
    <x v="2"/>
    <s v="No"/>
    <s v="Y"/>
    <n v="3"/>
    <n v="-2"/>
    <n v="0"/>
    <n v="34"/>
    <n v="0"/>
    <m/>
    <n v="0"/>
    <n v="1"/>
    <n v="1303"/>
    <n v="2"/>
    <x v="2"/>
    <n v="1"/>
    <n v="4"/>
    <n v="62"/>
    <n v="2"/>
    <n v="1"/>
    <n v="2"/>
    <n v="2768"/>
    <n v="8416"/>
    <n v="3"/>
    <n v="12"/>
    <n v="3"/>
    <n v="3"/>
    <n v="80"/>
    <n v="1"/>
    <n v="14"/>
    <n v="3"/>
    <n v="7"/>
    <n v="3"/>
    <n v="5"/>
    <n v="7"/>
  </r>
  <r>
    <x v="1"/>
    <s v="Travel_Rarely"/>
    <x v="1"/>
    <s v="Current Employees"/>
    <x v="0"/>
    <x v="3"/>
    <s v="STAFF-580"/>
    <n v="580"/>
    <x v="0"/>
    <x v="0"/>
    <x v="1"/>
    <s v="Yes"/>
    <s v="Y"/>
    <n v="3"/>
    <n v="-2"/>
    <n v="0"/>
    <n v="46"/>
    <n v="0"/>
    <m/>
    <n v="0"/>
    <n v="1"/>
    <n v="1125"/>
    <n v="10"/>
    <x v="3"/>
    <n v="1"/>
    <n v="3"/>
    <n v="94"/>
    <n v="2"/>
    <n v="3"/>
    <n v="1"/>
    <n v="9071"/>
    <n v="11563"/>
    <n v="2"/>
    <n v="19"/>
    <n v="3"/>
    <n v="3"/>
    <n v="80"/>
    <n v="1"/>
    <n v="15"/>
    <n v="3"/>
    <n v="3"/>
    <n v="2"/>
    <n v="1"/>
    <n v="2"/>
  </r>
  <r>
    <x v="1"/>
    <s v="Travel_Rarely"/>
    <x v="2"/>
    <s v="Current Employees"/>
    <x v="1"/>
    <x v="0"/>
    <s v="STAFF-581"/>
    <n v="581"/>
    <x v="1"/>
    <x v="3"/>
    <x v="2"/>
    <s v="No"/>
    <s v="Y"/>
    <n v="6"/>
    <n v="-2"/>
    <n v="0"/>
    <n v="31"/>
    <n v="0"/>
    <m/>
    <n v="0"/>
    <n v="1"/>
    <n v="1274"/>
    <n v="9"/>
    <x v="1"/>
    <n v="1"/>
    <n v="3"/>
    <n v="33"/>
    <n v="3"/>
    <n v="3"/>
    <n v="2"/>
    <n v="10648"/>
    <n v="14394"/>
    <n v="1"/>
    <n v="25"/>
    <n v="4"/>
    <n v="4"/>
    <n v="80"/>
    <n v="1"/>
    <n v="13"/>
    <n v="4"/>
    <n v="13"/>
    <n v="8"/>
    <n v="0"/>
    <n v="8"/>
  </r>
  <r>
    <x v="0"/>
    <s v="Travel_Rarely"/>
    <x v="2"/>
    <s v="Ex-Employees"/>
    <x v="1"/>
    <x v="2"/>
    <s v="STAFF-582"/>
    <n v="582"/>
    <x v="1"/>
    <x v="5"/>
    <x v="1"/>
    <s v="Yes"/>
    <s v="Y"/>
    <n v="2"/>
    <n v="-2"/>
    <n v="0"/>
    <n v="33"/>
    <n v="1"/>
    <n v="1"/>
    <n v="1"/>
    <n v="0"/>
    <n v="1277"/>
    <n v="15"/>
    <x v="1"/>
    <n v="1"/>
    <n v="2"/>
    <n v="56"/>
    <n v="3"/>
    <n v="3"/>
    <n v="3"/>
    <n v="13610"/>
    <n v="24619"/>
    <n v="7"/>
    <n v="12"/>
    <n v="3"/>
    <n v="4"/>
    <n v="80"/>
    <n v="0"/>
    <n v="15"/>
    <n v="4"/>
    <n v="7"/>
    <n v="6"/>
    <n v="7"/>
    <n v="7"/>
  </r>
  <r>
    <x v="0"/>
    <s v="Travel_Rarely"/>
    <x v="2"/>
    <s v="Ex-Employees"/>
    <x v="1"/>
    <x v="2"/>
    <s v="STAFF-584"/>
    <n v="584"/>
    <x v="1"/>
    <x v="2"/>
    <x v="2"/>
    <s v="No"/>
    <s v="Y"/>
    <n v="2"/>
    <n v="-2"/>
    <n v="0"/>
    <n v="33"/>
    <n v="1"/>
    <n v="1"/>
    <n v="1"/>
    <n v="0"/>
    <n v="587"/>
    <n v="10"/>
    <x v="1"/>
    <n v="1"/>
    <n v="1"/>
    <n v="38"/>
    <n v="1"/>
    <n v="1"/>
    <n v="4"/>
    <n v="3408"/>
    <n v="6705"/>
    <n v="7"/>
    <n v="13"/>
    <n v="3"/>
    <n v="1"/>
    <n v="80"/>
    <n v="3"/>
    <n v="8"/>
    <n v="3"/>
    <n v="4"/>
    <n v="3"/>
    <n v="1"/>
    <n v="3"/>
  </r>
  <r>
    <x v="1"/>
    <s v="Travel_Rarely"/>
    <x v="2"/>
    <s v="Current Employees"/>
    <x v="0"/>
    <x v="3"/>
    <s v="STAFF-585"/>
    <n v="585"/>
    <x v="1"/>
    <x v="6"/>
    <x v="0"/>
    <s v="No"/>
    <s v="Y"/>
    <n v="3"/>
    <n v="-2"/>
    <n v="0"/>
    <n v="30"/>
    <n v="0"/>
    <m/>
    <n v="0"/>
    <n v="1"/>
    <n v="413"/>
    <n v="7"/>
    <x v="1"/>
    <n v="1"/>
    <n v="4"/>
    <n v="57"/>
    <n v="3"/>
    <n v="1"/>
    <n v="1"/>
    <n v="2983"/>
    <n v="18398"/>
    <n v="0"/>
    <n v="14"/>
    <n v="3"/>
    <n v="1"/>
    <n v="80"/>
    <n v="0"/>
    <n v="4"/>
    <n v="3"/>
    <n v="3"/>
    <n v="2"/>
    <n v="1"/>
    <n v="2"/>
  </r>
  <r>
    <x v="1"/>
    <s v="Travel_Rarely"/>
    <x v="0"/>
    <s v="Current Employees"/>
    <x v="1"/>
    <x v="0"/>
    <s v="STAFF-586"/>
    <n v="586"/>
    <x v="1"/>
    <x v="4"/>
    <x v="1"/>
    <s v="Yes"/>
    <s v="Y"/>
    <n v="2"/>
    <n v="-2"/>
    <n v="0"/>
    <n v="35"/>
    <n v="0"/>
    <m/>
    <n v="0"/>
    <n v="1"/>
    <n v="1276"/>
    <n v="16"/>
    <x v="3"/>
    <n v="1"/>
    <n v="4"/>
    <n v="72"/>
    <n v="3"/>
    <n v="3"/>
    <n v="2"/>
    <n v="7632"/>
    <n v="14295"/>
    <n v="4"/>
    <n v="12"/>
    <n v="3"/>
    <n v="3"/>
    <n v="80"/>
    <n v="0"/>
    <n v="10"/>
    <n v="3"/>
    <n v="8"/>
    <n v="7"/>
    <n v="0"/>
    <n v="0"/>
  </r>
  <r>
    <x v="0"/>
    <s v="Travel_Frequently"/>
    <x v="2"/>
    <s v="Ex-Employees"/>
    <x v="1"/>
    <x v="0"/>
    <s v="STAFF-587"/>
    <n v="587"/>
    <x v="1"/>
    <x v="4"/>
    <x v="1"/>
    <s v="No"/>
    <s v="Y"/>
    <n v="2"/>
    <n v="-2"/>
    <n v="0"/>
    <n v="31"/>
    <n v="1"/>
    <n v="1"/>
    <n v="1"/>
    <n v="0"/>
    <n v="534"/>
    <n v="20"/>
    <x v="3"/>
    <n v="1"/>
    <n v="1"/>
    <n v="66"/>
    <n v="3"/>
    <n v="3"/>
    <n v="2"/>
    <n v="9824"/>
    <n v="22908"/>
    <n v="3"/>
    <n v="12"/>
    <n v="3"/>
    <n v="1"/>
    <n v="80"/>
    <n v="0"/>
    <n v="12"/>
    <n v="3"/>
    <n v="1"/>
    <n v="0"/>
    <n v="0"/>
    <n v="0"/>
  </r>
  <r>
    <x v="0"/>
    <s v="Travel_Frequently"/>
    <x v="2"/>
    <s v="Ex-Employees"/>
    <x v="2"/>
    <x v="5"/>
    <s v="STAFF-590"/>
    <n v="590"/>
    <x v="0"/>
    <x v="8"/>
    <x v="2"/>
    <s v="Yes"/>
    <s v="Y"/>
    <n v="2"/>
    <n v="-2"/>
    <n v="0"/>
    <n v="34"/>
    <n v="1"/>
    <n v="1"/>
    <n v="1"/>
    <n v="0"/>
    <n v="988"/>
    <n v="23"/>
    <x v="3"/>
    <n v="1"/>
    <n v="2"/>
    <n v="43"/>
    <n v="3"/>
    <n v="3"/>
    <n v="3"/>
    <n v="9950"/>
    <n v="11533"/>
    <n v="9"/>
    <n v="15"/>
    <n v="3"/>
    <n v="3"/>
    <n v="80"/>
    <n v="3"/>
    <n v="11"/>
    <n v="3"/>
    <n v="3"/>
    <n v="2"/>
    <n v="0"/>
    <n v="2"/>
  </r>
  <r>
    <x v="1"/>
    <s v="Travel_Frequently"/>
    <x v="0"/>
    <s v="Current Employees"/>
    <x v="1"/>
    <x v="1"/>
    <s v="STAFF-591"/>
    <n v="591"/>
    <x v="1"/>
    <x v="2"/>
    <x v="1"/>
    <s v="No"/>
    <s v="Y"/>
    <n v="4"/>
    <n v="-2"/>
    <n v="0"/>
    <n v="42"/>
    <n v="0"/>
    <m/>
    <n v="0"/>
    <n v="1"/>
    <n v="1474"/>
    <n v="5"/>
    <x v="0"/>
    <n v="1"/>
    <n v="2"/>
    <n v="97"/>
    <n v="3"/>
    <n v="1"/>
    <n v="3"/>
    <n v="2093"/>
    <n v="9260"/>
    <n v="4"/>
    <n v="17"/>
    <n v="3"/>
    <n v="4"/>
    <n v="80"/>
    <n v="1"/>
    <n v="8"/>
    <n v="3"/>
    <n v="2"/>
    <n v="2"/>
    <n v="2"/>
    <n v="0"/>
  </r>
  <r>
    <x v="1"/>
    <s v="Non-Travel"/>
    <x v="0"/>
    <s v="Current Employees"/>
    <x v="0"/>
    <x v="2"/>
    <s v="STAFF-592"/>
    <n v="592"/>
    <x v="1"/>
    <x v="0"/>
    <x v="0"/>
    <s v="No"/>
    <s v="Y"/>
    <n v="3"/>
    <n v="-2"/>
    <n v="0"/>
    <n v="36"/>
    <n v="0"/>
    <m/>
    <n v="0"/>
    <n v="1"/>
    <n v="635"/>
    <n v="10"/>
    <x v="2"/>
    <n v="1"/>
    <n v="2"/>
    <n v="32"/>
    <n v="3"/>
    <n v="3"/>
    <n v="4"/>
    <n v="9980"/>
    <n v="15318"/>
    <n v="1"/>
    <n v="14"/>
    <n v="3"/>
    <n v="4"/>
    <n v="80"/>
    <n v="0"/>
    <n v="10"/>
    <n v="2"/>
    <n v="10"/>
    <n v="3"/>
    <n v="9"/>
    <n v="7"/>
  </r>
  <r>
    <x v="0"/>
    <s v="Travel_Frequently"/>
    <x v="4"/>
    <s v="Ex-Employees"/>
    <x v="1"/>
    <x v="4"/>
    <s v="STAFF-593"/>
    <n v="593"/>
    <x v="1"/>
    <x v="2"/>
    <x v="0"/>
    <s v="No"/>
    <s v="Y"/>
    <n v="3"/>
    <n v="-2"/>
    <n v="0"/>
    <n v="22"/>
    <n v="1"/>
    <n v="1"/>
    <n v="1"/>
    <n v="0"/>
    <n v="1368"/>
    <n v="4"/>
    <x v="1"/>
    <n v="1"/>
    <n v="4"/>
    <n v="99"/>
    <n v="2"/>
    <n v="1"/>
    <n v="4"/>
    <n v="3894"/>
    <n v="9129"/>
    <n v="5"/>
    <n v="16"/>
    <n v="3"/>
    <n v="3"/>
    <n v="80"/>
    <n v="0"/>
    <n v="4"/>
    <n v="3"/>
    <n v="2"/>
    <n v="2"/>
    <n v="1"/>
    <n v="2"/>
  </r>
  <r>
    <x v="1"/>
    <s v="Travel_Rarely"/>
    <x v="1"/>
    <s v="Current Employees"/>
    <x v="0"/>
    <x v="3"/>
    <s v="STAFF-595"/>
    <n v="595"/>
    <x v="0"/>
    <x v="0"/>
    <x v="1"/>
    <s v="No"/>
    <s v="Y"/>
    <n v="2"/>
    <n v="-2"/>
    <n v="0"/>
    <n v="48"/>
    <n v="0"/>
    <m/>
    <n v="0"/>
    <n v="1"/>
    <n v="163"/>
    <n v="2"/>
    <x v="4"/>
    <n v="1"/>
    <n v="2"/>
    <n v="37"/>
    <n v="3"/>
    <n v="2"/>
    <n v="1"/>
    <n v="4051"/>
    <n v="19658"/>
    <n v="2"/>
    <n v="14"/>
    <n v="3"/>
    <n v="1"/>
    <n v="80"/>
    <n v="1"/>
    <n v="14"/>
    <n v="3"/>
    <n v="9"/>
    <n v="7"/>
    <n v="6"/>
    <n v="7"/>
  </r>
  <r>
    <x v="1"/>
    <s v="Travel_Rarely"/>
    <x v="3"/>
    <s v="Current Employees"/>
    <x v="0"/>
    <x v="0"/>
    <s v="STAFF-597"/>
    <n v="597"/>
    <x v="0"/>
    <x v="5"/>
    <x v="0"/>
    <s v="No"/>
    <s v="Y"/>
    <n v="2"/>
    <n v="-2"/>
    <n v="0"/>
    <n v="55"/>
    <n v="0"/>
    <m/>
    <n v="0"/>
    <n v="1"/>
    <n v="1117"/>
    <n v="18"/>
    <x v="4"/>
    <n v="1"/>
    <n v="1"/>
    <n v="83"/>
    <n v="3"/>
    <n v="4"/>
    <n v="2"/>
    <n v="16835"/>
    <n v="9873"/>
    <n v="3"/>
    <n v="23"/>
    <n v="4"/>
    <n v="4"/>
    <n v="80"/>
    <n v="0"/>
    <n v="37"/>
    <n v="3"/>
    <n v="10"/>
    <n v="9"/>
    <n v="7"/>
    <n v="7"/>
  </r>
  <r>
    <x v="1"/>
    <s v="Non-Travel"/>
    <x v="0"/>
    <s v="Current Employees"/>
    <x v="0"/>
    <x v="0"/>
    <s v="STAFF-599"/>
    <n v="599"/>
    <x v="1"/>
    <x v="0"/>
    <x v="0"/>
    <s v="No"/>
    <s v="Y"/>
    <n v="3"/>
    <n v="-2"/>
    <n v="0"/>
    <n v="41"/>
    <n v="0"/>
    <m/>
    <n v="0"/>
    <n v="1"/>
    <n v="267"/>
    <n v="10"/>
    <x v="0"/>
    <n v="1"/>
    <n v="4"/>
    <n v="56"/>
    <n v="3"/>
    <n v="2"/>
    <n v="2"/>
    <n v="6230"/>
    <n v="13430"/>
    <n v="7"/>
    <n v="14"/>
    <n v="3"/>
    <n v="4"/>
    <n v="80"/>
    <n v="0"/>
    <n v="16"/>
    <n v="3"/>
    <n v="14"/>
    <n v="3"/>
    <n v="1"/>
    <n v="10"/>
  </r>
  <r>
    <x v="1"/>
    <s v="Travel_Rarely"/>
    <x v="0"/>
    <s v="Current Employees"/>
    <x v="0"/>
    <x v="3"/>
    <s v="STAFF-600"/>
    <n v="600"/>
    <x v="1"/>
    <x v="0"/>
    <x v="1"/>
    <s v="No"/>
    <s v="Y"/>
    <n v="2"/>
    <n v="-2"/>
    <n v="0"/>
    <n v="35"/>
    <n v="0"/>
    <m/>
    <n v="0"/>
    <n v="1"/>
    <n v="619"/>
    <n v="1"/>
    <x v="3"/>
    <n v="1"/>
    <n v="2"/>
    <n v="85"/>
    <n v="3"/>
    <n v="2"/>
    <n v="1"/>
    <n v="4717"/>
    <n v="18659"/>
    <n v="9"/>
    <n v="11"/>
    <n v="3"/>
    <n v="3"/>
    <n v="80"/>
    <n v="0"/>
    <n v="15"/>
    <n v="3"/>
    <n v="11"/>
    <n v="9"/>
    <n v="6"/>
    <n v="9"/>
  </r>
  <r>
    <x v="1"/>
    <s v="Travel_Rarely"/>
    <x v="0"/>
    <s v="Current Employees"/>
    <x v="1"/>
    <x v="0"/>
    <s v="STAFF-601"/>
    <n v="601"/>
    <x v="0"/>
    <x v="3"/>
    <x v="0"/>
    <s v="No"/>
    <s v="Y"/>
    <n v="3"/>
    <n v="-2"/>
    <n v="0"/>
    <n v="40"/>
    <n v="0"/>
    <m/>
    <n v="0"/>
    <n v="1"/>
    <n v="302"/>
    <n v="6"/>
    <x v="3"/>
    <n v="1"/>
    <n v="2"/>
    <n v="75"/>
    <n v="3"/>
    <n v="4"/>
    <n v="2"/>
    <n v="13237"/>
    <n v="20364"/>
    <n v="7"/>
    <n v="15"/>
    <n v="3"/>
    <n v="3"/>
    <n v="80"/>
    <n v="0"/>
    <n v="22"/>
    <n v="3"/>
    <n v="20"/>
    <n v="6"/>
    <n v="5"/>
    <n v="13"/>
  </r>
  <r>
    <x v="1"/>
    <s v="Travel_Frequently"/>
    <x v="0"/>
    <s v="Current Employees"/>
    <x v="1"/>
    <x v="0"/>
    <s v="STAFF-602"/>
    <n v="602"/>
    <x v="0"/>
    <x v="2"/>
    <x v="1"/>
    <s v="No"/>
    <s v="Y"/>
    <n v="3"/>
    <n v="-2"/>
    <n v="0"/>
    <n v="39"/>
    <n v="0"/>
    <m/>
    <n v="0"/>
    <n v="1"/>
    <n v="443"/>
    <n v="8"/>
    <x v="1"/>
    <n v="1"/>
    <n v="3"/>
    <n v="48"/>
    <n v="3"/>
    <n v="1"/>
    <n v="2"/>
    <n v="3755"/>
    <n v="17872"/>
    <n v="1"/>
    <n v="11"/>
    <n v="3"/>
    <n v="1"/>
    <n v="80"/>
    <n v="1"/>
    <n v="8"/>
    <n v="3"/>
    <n v="8"/>
    <n v="3"/>
    <n v="0"/>
    <n v="7"/>
  </r>
  <r>
    <x v="1"/>
    <s v="Travel_Rarely"/>
    <x v="2"/>
    <s v="Current Employees"/>
    <x v="0"/>
    <x v="0"/>
    <s v="STAFF-604"/>
    <n v="604"/>
    <x v="1"/>
    <x v="0"/>
    <x v="0"/>
    <s v="Yes"/>
    <s v="Y"/>
    <n v="2"/>
    <n v="-2"/>
    <n v="0"/>
    <n v="31"/>
    <n v="0"/>
    <m/>
    <n v="0"/>
    <n v="1"/>
    <n v="828"/>
    <n v="2"/>
    <x v="1"/>
    <n v="1"/>
    <n v="2"/>
    <n v="77"/>
    <n v="3"/>
    <n v="2"/>
    <n v="2"/>
    <n v="6582"/>
    <n v="8346"/>
    <n v="4"/>
    <n v="13"/>
    <n v="3"/>
    <n v="3"/>
    <n v="80"/>
    <n v="0"/>
    <n v="10"/>
    <n v="4"/>
    <n v="6"/>
    <n v="5"/>
    <n v="0"/>
    <n v="5"/>
  </r>
  <r>
    <x v="1"/>
    <s v="Travel_Rarely"/>
    <x v="0"/>
    <s v="Current Employees"/>
    <x v="1"/>
    <x v="2"/>
    <s v="STAFF-605"/>
    <n v="605"/>
    <x v="1"/>
    <x v="3"/>
    <x v="1"/>
    <s v="Yes"/>
    <s v="Y"/>
    <n v="5"/>
    <n v="-2"/>
    <n v="0"/>
    <n v="42"/>
    <n v="0"/>
    <m/>
    <n v="0"/>
    <n v="1"/>
    <n v="319"/>
    <n v="24"/>
    <x v="3"/>
    <n v="1"/>
    <n v="4"/>
    <n v="56"/>
    <n v="3"/>
    <n v="3"/>
    <n v="3"/>
    <n v="7406"/>
    <n v="6950"/>
    <n v="1"/>
    <n v="21"/>
    <n v="4"/>
    <n v="4"/>
    <n v="80"/>
    <n v="1"/>
    <n v="10"/>
    <n v="2"/>
    <n v="10"/>
    <n v="9"/>
    <n v="5"/>
    <n v="8"/>
  </r>
  <r>
    <x v="1"/>
    <s v="Travel_Rarely"/>
    <x v="1"/>
    <s v="Current Employees"/>
    <x v="0"/>
    <x v="1"/>
    <s v="STAFF-606"/>
    <n v="606"/>
    <x v="1"/>
    <x v="0"/>
    <x v="1"/>
    <s v="No"/>
    <s v="Y"/>
    <n v="3"/>
    <n v="-2"/>
    <n v="0"/>
    <n v="45"/>
    <n v="0"/>
    <m/>
    <n v="0"/>
    <n v="1"/>
    <n v="561"/>
    <n v="2"/>
    <x v="3"/>
    <n v="1"/>
    <n v="4"/>
    <n v="61"/>
    <n v="3"/>
    <n v="2"/>
    <n v="3"/>
    <n v="4805"/>
    <n v="16177"/>
    <n v="0"/>
    <n v="19"/>
    <n v="3"/>
    <n v="2"/>
    <n v="80"/>
    <n v="1"/>
    <n v="9"/>
    <n v="4"/>
    <n v="8"/>
    <n v="7"/>
    <n v="3"/>
    <n v="7"/>
  </r>
  <r>
    <x v="0"/>
    <s v="Travel_Frequently"/>
    <x v="2"/>
    <s v="Ex-Employees"/>
    <x v="2"/>
    <x v="0"/>
    <s v="STAFF-608"/>
    <n v="608"/>
    <x v="0"/>
    <x v="8"/>
    <x v="2"/>
    <s v="Yes"/>
    <s v="Y"/>
    <n v="2"/>
    <n v="-2"/>
    <n v="0"/>
    <n v="26"/>
    <n v="1"/>
    <n v="1"/>
    <n v="1"/>
    <n v="0"/>
    <n v="426"/>
    <n v="17"/>
    <x v="2"/>
    <n v="1"/>
    <n v="2"/>
    <n v="58"/>
    <n v="3"/>
    <n v="1"/>
    <n v="2"/>
    <n v="2741"/>
    <n v="22808"/>
    <n v="0"/>
    <n v="11"/>
    <n v="3"/>
    <n v="2"/>
    <n v="80"/>
    <n v="1"/>
    <n v="8"/>
    <n v="2"/>
    <n v="7"/>
    <n v="7"/>
    <n v="1"/>
    <n v="0"/>
  </r>
  <r>
    <x v="1"/>
    <s v="Travel_Rarely"/>
    <x v="2"/>
    <s v="Current Employees"/>
    <x v="1"/>
    <x v="4"/>
    <s v="STAFF-611"/>
    <n v="611"/>
    <x v="1"/>
    <x v="3"/>
    <x v="2"/>
    <s v="No"/>
    <s v="Y"/>
    <n v="2"/>
    <n v="-2"/>
    <n v="0"/>
    <n v="29"/>
    <n v="0"/>
    <m/>
    <n v="0"/>
    <n v="1"/>
    <n v="232"/>
    <n v="19"/>
    <x v="3"/>
    <n v="1"/>
    <n v="4"/>
    <n v="34"/>
    <n v="3"/>
    <n v="2"/>
    <n v="4"/>
    <n v="4262"/>
    <n v="22645"/>
    <n v="4"/>
    <n v="12"/>
    <n v="3"/>
    <n v="2"/>
    <n v="80"/>
    <n v="2"/>
    <n v="8"/>
    <n v="4"/>
    <n v="3"/>
    <n v="2"/>
    <n v="1"/>
    <n v="2"/>
  </r>
  <r>
    <x v="1"/>
    <s v="Travel_Rarely"/>
    <x v="2"/>
    <s v="Current Employees"/>
    <x v="1"/>
    <x v="2"/>
    <s v="STAFF-612"/>
    <n v="612"/>
    <x v="0"/>
    <x v="7"/>
    <x v="2"/>
    <s v="No"/>
    <s v="Y"/>
    <n v="2"/>
    <n v="-2"/>
    <n v="0"/>
    <n v="33"/>
    <n v="0"/>
    <m/>
    <n v="0"/>
    <n v="1"/>
    <n v="922"/>
    <n v="1"/>
    <x v="4"/>
    <n v="1"/>
    <n v="1"/>
    <n v="95"/>
    <n v="4"/>
    <n v="4"/>
    <n v="3"/>
    <n v="16184"/>
    <n v="22578"/>
    <n v="4"/>
    <n v="19"/>
    <n v="3"/>
    <n v="3"/>
    <n v="80"/>
    <n v="1"/>
    <n v="10"/>
    <n v="3"/>
    <n v="6"/>
    <n v="1"/>
    <n v="0"/>
    <n v="5"/>
  </r>
  <r>
    <x v="1"/>
    <s v="Travel_Rarely"/>
    <x v="2"/>
    <s v="Current Employees"/>
    <x v="0"/>
    <x v="0"/>
    <s v="STAFF-613"/>
    <n v="613"/>
    <x v="1"/>
    <x v="5"/>
    <x v="2"/>
    <s v="No"/>
    <s v="Y"/>
    <n v="3"/>
    <n v="-2"/>
    <n v="0"/>
    <n v="31"/>
    <n v="0"/>
    <m/>
    <n v="0"/>
    <n v="1"/>
    <n v="688"/>
    <n v="7"/>
    <x v="3"/>
    <n v="1"/>
    <n v="3"/>
    <n v="44"/>
    <n v="2"/>
    <n v="3"/>
    <n v="2"/>
    <n v="11557"/>
    <n v="25291"/>
    <n v="9"/>
    <n v="21"/>
    <n v="4"/>
    <n v="3"/>
    <n v="80"/>
    <n v="1"/>
    <n v="10"/>
    <n v="2"/>
    <n v="5"/>
    <n v="4"/>
    <n v="0"/>
    <n v="1"/>
  </r>
  <r>
    <x v="0"/>
    <s v="Travel_Frequently"/>
    <x v="4"/>
    <s v="Ex-Employees"/>
    <x v="0"/>
    <x v="3"/>
    <s v="STAFF-614"/>
    <n v="614"/>
    <x v="1"/>
    <x v="6"/>
    <x v="0"/>
    <s v="Yes"/>
    <s v="Y"/>
    <n v="3"/>
    <n v="-2"/>
    <n v="0"/>
    <n v="18"/>
    <n v="1"/>
    <n v="1"/>
    <n v="1"/>
    <n v="0"/>
    <n v="1306"/>
    <n v="5"/>
    <x v="3"/>
    <n v="1"/>
    <n v="2"/>
    <n v="69"/>
    <n v="3"/>
    <n v="1"/>
    <n v="1"/>
    <n v="1878"/>
    <n v="8059"/>
    <n v="1"/>
    <n v="14"/>
    <n v="3"/>
    <n v="4"/>
    <n v="80"/>
    <n v="0"/>
    <n v="0"/>
    <n v="3"/>
    <n v="0"/>
    <n v="0"/>
    <n v="0"/>
    <n v="0"/>
  </r>
  <r>
    <x v="1"/>
    <s v="Non-Travel"/>
    <x v="0"/>
    <s v="Current Employees"/>
    <x v="0"/>
    <x v="1"/>
    <s v="STAFF-615"/>
    <n v="615"/>
    <x v="1"/>
    <x v="0"/>
    <x v="2"/>
    <s v="No"/>
    <s v="Y"/>
    <n v="2"/>
    <n v="-2"/>
    <n v="0"/>
    <n v="40"/>
    <n v="0"/>
    <m/>
    <n v="0"/>
    <n v="1"/>
    <n v="1094"/>
    <n v="28"/>
    <x v="3"/>
    <n v="1"/>
    <n v="3"/>
    <n v="58"/>
    <n v="1"/>
    <n v="3"/>
    <n v="3"/>
    <n v="10932"/>
    <n v="11373"/>
    <n v="3"/>
    <n v="15"/>
    <n v="3"/>
    <n v="3"/>
    <n v="80"/>
    <n v="1"/>
    <n v="20"/>
    <n v="3"/>
    <n v="1"/>
    <n v="0"/>
    <n v="0"/>
    <n v="1"/>
  </r>
  <r>
    <x v="1"/>
    <s v="Non-Travel"/>
    <x v="0"/>
    <s v="Current Employees"/>
    <x v="1"/>
    <x v="1"/>
    <s v="STAFF-616"/>
    <n v="616"/>
    <x v="0"/>
    <x v="4"/>
    <x v="0"/>
    <s v="Yes"/>
    <s v="Y"/>
    <n v="3"/>
    <n v="-2"/>
    <n v="0"/>
    <n v="41"/>
    <n v="0"/>
    <m/>
    <n v="0"/>
    <n v="1"/>
    <n v="509"/>
    <n v="2"/>
    <x v="2"/>
    <n v="1"/>
    <n v="1"/>
    <n v="62"/>
    <n v="2"/>
    <n v="2"/>
    <n v="3"/>
    <n v="6811"/>
    <n v="2112"/>
    <n v="2"/>
    <n v="17"/>
    <n v="3"/>
    <n v="1"/>
    <n v="80"/>
    <n v="0"/>
    <n v="10"/>
    <n v="3"/>
    <n v="8"/>
    <n v="7"/>
    <n v="0"/>
    <n v="7"/>
  </r>
  <r>
    <x v="1"/>
    <s v="Travel_Rarely"/>
    <x v="2"/>
    <s v="Current Employees"/>
    <x v="0"/>
    <x v="2"/>
    <s v="STAFF-618"/>
    <n v="618"/>
    <x v="1"/>
    <x v="0"/>
    <x v="2"/>
    <s v="No"/>
    <s v="Y"/>
    <n v="5"/>
    <n v="-2"/>
    <n v="0"/>
    <n v="26"/>
    <n v="0"/>
    <m/>
    <n v="0"/>
    <n v="1"/>
    <n v="775"/>
    <n v="29"/>
    <x v="0"/>
    <n v="1"/>
    <n v="1"/>
    <n v="45"/>
    <n v="3"/>
    <n v="2"/>
    <n v="3"/>
    <n v="4306"/>
    <n v="4267"/>
    <n v="5"/>
    <n v="12"/>
    <n v="3"/>
    <n v="1"/>
    <n v="80"/>
    <n v="2"/>
    <n v="8"/>
    <n v="3"/>
    <n v="0"/>
    <n v="0"/>
    <n v="0"/>
    <n v="0"/>
  </r>
  <r>
    <x v="1"/>
    <s v="Travel_Rarely"/>
    <x v="0"/>
    <s v="Current Employees"/>
    <x v="0"/>
    <x v="2"/>
    <s v="STAFF-620"/>
    <n v="620"/>
    <x v="0"/>
    <x v="0"/>
    <x v="0"/>
    <s v="No"/>
    <s v="Y"/>
    <n v="3"/>
    <n v="-2"/>
    <n v="0"/>
    <n v="35"/>
    <n v="0"/>
    <m/>
    <n v="0"/>
    <n v="1"/>
    <n v="195"/>
    <n v="1"/>
    <x v="3"/>
    <n v="1"/>
    <n v="1"/>
    <n v="80"/>
    <n v="3"/>
    <n v="2"/>
    <n v="3"/>
    <n v="4859"/>
    <n v="6698"/>
    <n v="1"/>
    <n v="16"/>
    <n v="3"/>
    <n v="4"/>
    <n v="80"/>
    <n v="0"/>
    <n v="5"/>
    <n v="3"/>
    <n v="5"/>
    <n v="4"/>
    <n v="0"/>
    <n v="3"/>
  </r>
  <r>
    <x v="1"/>
    <s v="Travel_Rarely"/>
    <x v="2"/>
    <s v="Current Employees"/>
    <x v="0"/>
    <x v="0"/>
    <s v="STAFF-621"/>
    <n v="621"/>
    <x v="1"/>
    <x v="0"/>
    <x v="0"/>
    <s v="No"/>
    <s v="Y"/>
    <n v="3"/>
    <n v="-2"/>
    <n v="0"/>
    <n v="34"/>
    <n v="0"/>
    <m/>
    <n v="0"/>
    <n v="1"/>
    <n v="258"/>
    <n v="21"/>
    <x v="2"/>
    <n v="1"/>
    <n v="4"/>
    <n v="74"/>
    <n v="4"/>
    <n v="2"/>
    <n v="2"/>
    <n v="5337"/>
    <n v="19921"/>
    <n v="1"/>
    <n v="12"/>
    <n v="3"/>
    <n v="4"/>
    <n v="80"/>
    <n v="0"/>
    <n v="10"/>
    <n v="3"/>
    <n v="10"/>
    <n v="7"/>
    <n v="5"/>
    <n v="7"/>
  </r>
  <r>
    <x v="0"/>
    <s v="Travel_Rarely"/>
    <x v="2"/>
    <s v="Ex-Employees"/>
    <x v="1"/>
    <x v="4"/>
    <s v="STAFF-622"/>
    <n v="622"/>
    <x v="1"/>
    <x v="2"/>
    <x v="0"/>
    <s v="Yes"/>
    <s v="Y"/>
    <n v="3"/>
    <n v="-2"/>
    <n v="0"/>
    <n v="26"/>
    <n v="1"/>
    <n v="1"/>
    <n v="1"/>
    <n v="0"/>
    <n v="471"/>
    <n v="24"/>
    <x v="3"/>
    <n v="1"/>
    <n v="4"/>
    <n v="66"/>
    <n v="1"/>
    <n v="1"/>
    <n v="4"/>
    <n v="2340"/>
    <n v="23213"/>
    <n v="1"/>
    <n v="18"/>
    <n v="3"/>
    <n v="2"/>
    <n v="80"/>
    <n v="0"/>
    <n v="1"/>
    <n v="1"/>
    <n v="1"/>
    <n v="0"/>
    <n v="0"/>
    <n v="0"/>
  </r>
  <r>
    <x v="1"/>
    <s v="Travel_Rarely"/>
    <x v="0"/>
    <s v="Current Employees"/>
    <x v="1"/>
    <x v="4"/>
    <s v="STAFF-623"/>
    <n v="623"/>
    <x v="0"/>
    <x v="3"/>
    <x v="0"/>
    <s v="No"/>
    <s v="Y"/>
    <n v="3"/>
    <n v="-2"/>
    <n v="0"/>
    <n v="37"/>
    <n v="0"/>
    <m/>
    <n v="0"/>
    <n v="1"/>
    <n v="799"/>
    <n v="1"/>
    <x v="3"/>
    <n v="1"/>
    <n v="4"/>
    <n v="59"/>
    <n v="3"/>
    <n v="3"/>
    <n v="4"/>
    <n v="7491"/>
    <n v="23848"/>
    <n v="4"/>
    <n v="17"/>
    <n v="3"/>
    <n v="4"/>
    <n v="80"/>
    <n v="0"/>
    <n v="12"/>
    <n v="4"/>
    <n v="6"/>
    <n v="5"/>
    <n v="1"/>
    <n v="2"/>
  </r>
  <r>
    <x v="1"/>
    <s v="Travel_Frequently"/>
    <x v="1"/>
    <s v="Current Employees"/>
    <x v="1"/>
    <x v="2"/>
    <s v="STAFF-624"/>
    <n v="624"/>
    <x v="0"/>
    <x v="4"/>
    <x v="1"/>
    <s v="No"/>
    <s v="Y"/>
    <n v="3"/>
    <n v="-2"/>
    <n v="0"/>
    <n v="46"/>
    <n v="0"/>
    <m/>
    <n v="0"/>
    <n v="1"/>
    <n v="1034"/>
    <n v="18"/>
    <x v="1"/>
    <n v="1"/>
    <n v="1"/>
    <n v="86"/>
    <n v="3"/>
    <n v="3"/>
    <n v="3"/>
    <n v="10527"/>
    <n v="8984"/>
    <n v="5"/>
    <n v="11"/>
    <n v="3"/>
    <n v="4"/>
    <n v="80"/>
    <n v="0"/>
    <n v="28"/>
    <n v="2"/>
    <n v="2"/>
    <n v="2"/>
    <n v="1"/>
    <n v="2"/>
  </r>
  <r>
    <x v="1"/>
    <s v="Travel_Rarely"/>
    <x v="0"/>
    <s v="Current Employees"/>
    <x v="0"/>
    <x v="0"/>
    <s v="STAFF-625"/>
    <n v="625"/>
    <x v="0"/>
    <x v="5"/>
    <x v="1"/>
    <s v="No"/>
    <s v="Y"/>
    <n v="2"/>
    <n v="-2"/>
    <n v="0"/>
    <n v="41"/>
    <n v="0"/>
    <m/>
    <n v="0"/>
    <n v="1"/>
    <n v="1276"/>
    <n v="2"/>
    <x v="4"/>
    <n v="1"/>
    <n v="2"/>
    <n v="91"/>
    <n v="3"/>
    <n v="4"/>
    <n v="2"/>
    <n v="16595"/>
    <n v="5626"/>
    <n v="7"/>
    <n v="16"/>
    <n v="3"/>
    <n v="2"/>
    <n v="80"/>
    <n v="1"/>
    <n v="22"/>
    <n v="3"/>
    <n v="18"/>
    <n v="16"/>
    <n v="11"/>
    <n v="8"/>
  </r>
  <r>
    <x v="1"/>
    <s v="Non-Travel"/>
    <x v="0"/>
    <s v="Current Employees"/>
    <x v="0"/>
    <x v="2"/>
    <s v="STAFF-626"/>
    <n v="626"/>
    <x v="1"/>
    <x v="0"/>
    <x v="2"/>
    <s v="No"/>
    <s v="Y"/>
    <n v="6"/>
    <n v="-2"/>
    <n v="0"/>
    <n v="37"/>
    <n v="0"/>
    <m/>
    <n v="0"/>
    <n v="1"/>
    <n v="142"/>
    <n v="9"/>
    <x v="2"/>
    <n v="1"/>
    <n v="1"/>
    <n v="69"/>
    <n v="3"/>
    <n v="3"/>
    <n v="3"/>
    <n v="8834"/>
    <n v="24666"/>
    <n v="1"/>
    <n v="13"/>
    <n v="3"/>
    <n v="4"/>
    <n v="80"/>
    <n v="1"/>
    <n v="9"/>
    <n v="3"/>
    <n v="9"/>
    <n v="5"/>
    <n v="7"/>
    <n v="7"/>
  </r>
  <r>
    <x v="1"/>
    <s v="Travel_Rarely"/>
    <x v="1"/>
    <s v="Current Employees"/>
    <x v="1"/>
    <x v="4"/>
    <s v="STAFF-630"/>
    <n v="630"/>
    <x v="1"/>
    <x v="1"/>
    <x v="2"/>
    <s v="Yes"/>
    <s v="Y"/>
    <n v="3"/>
    <n v="-2"/>
    <n v="0"/>
    <n v="52"/>
    <n v="0"/>
    <m/>
    <n v="0"/>
    <n v="1"/>
    <n v="956"/>
    <n v="6"/>
    <x v="0"/>
    <n v="1"/>
    <n v="4"/>
    <n v="78"/>
    <n v="3"/>
    <n v="2"/>
    <n v="4"/>
    <n v="5577"/>
    <n v="22087"/>
    <n v="3"/>
    <n v="12"/>
    <n v="3"/>
    <n v="2"/>
    <n v="80"/>
    <n v="2"/>
    <n v="18"/>
    <n v="3"/>
    <n v="10"/>
    <n v="9"/>
    <n v="6"/>
    <n v="9"/>
  </r>
  <r>
    <x v="0"/>
    <s v="Non-Travel"/>
    <x v="2"/>
    <s v="Ex-Employees"/>
    <x v="0"/>
    <x v="1"/>
    <s v="STAFF-631"/>
    <n v="631"/>
    <x v="1"/>
    <x v="0"/>
    <x v="1"/>
    <s v="No"/>
    <s v="Y"/>
    <n v="2"/>
    <n v="-2"/>
    <n v="0"/>
    <n v="32"/>
    <n v="1"/>
    <n v="1"/>
    <n v="1"/>
    <n v="0"/>
    <n v="1474"/>
    <n v="11"/>
    <x v="2"/>
    <n v="1"/>
    <n v="4"/>
    <n v="60"/>
    <n v="4"/>
    <n v="2"/>
    <n v="3"/>
    <n v="4707"/>
    <n v="23914"/>
    <n v="8"/>
    <n v="12"/>
    <n v="3"/>
    <n v="4"/>
    <n v="80"/>
    <n v="0"/>
    <n v="6"/>
    <n v="3"/>
    <n v="4"/>
    <n v="2"/>
    <n v="1"/>
    <n v="2"/>
  </r>
  <r>
    <x v="1"/>
    <s v="Travel_Frequently"/>
    <x v="4"/>
    <s v="Current Employees"/>
    <x v="0"/>
    <x v="2"/>
    <s v="STAFF-632"/>
    <n v="632"/>
    <x v="1"/>
    <x v="6"/>
    <x v="1"/>
    <s v="No"/>
    <s v="Y"/>
    <n v="3"/>
    <n v="-2"/>
    <n v="0"/>
    <n v="24"/>
    <n v="0"/>
    <m/>
    <n v="0"/>
    <n v="1"/>
    <n v="535"/>
    <n v="24"/>
    <x v="3"/>
    <n v="1"/>
    <n v="4"/>
    <n v="38"/>
    <n v="3"/>
    <n v="1"/>
    <n v="4"/>
    <n v="2400"/>
    <n v="5530"/>
    <n v="0"/>
    <n v="13"/>
    <n v="3"/>
    <n v="3"/>
    <n v="80"/>
    <n v="2"/>
    <n v="3"/>
    <n v="3"/>
    <n v="2"/>
    <n v="2"/>
    <n v="2"/>
    <n v="1"/>
  </r>
  <r>
    <x v="1"/>
    <s v="Travel_Rarely"/>
    <x v="0"/>
    <s v="Current Employees"/>
    <x v="1"/>
    <x v="2"/>
    <s v="STAFF-634"/>
    <n v="634"/>
    <x v="0"/>
    <x v="4"/>
    <x v="1"/>
    <s v="No"/>
    <s v="Y"/>
    <n v="4"/>
    <n v="-2"/>
    <n v="0"/>
    <n v="38"/>
    <n v="0"/>
    <m/>
    <n v="0"/>
    <n v="1"/>
    <n v="1495"/>
    <n v="10"/>
    <x v="3"/>
    <n v="1"/>
    <n v="3"/>
    <n v="76"/>
    <n v="3"/>
    <n v="2"/>
    <n v="3"/>
    <n v="9824"/>
    <n v="22174"/>
    <n v="3"/>
    <n v="19"/>
    <n v="3"/>
    <n v="3"/>
    <n v="80"/>
    <n v="1"/>
    <n v="18"/>
    <n v="3"/>
    <n v="1"/>
    <n v="0"/>
    <n v="0"/>
    <n v="0"/>
  </r>
  <r>
    <x v="1"/>
    <s v="Travel_Rarely"/>
    <x v="0"/>
    <s v="Current Employees"/>
    <x v="1"/>
    <x v="0"/>
    <s v="STAFF-635"/>
    <n v="635"/>
    <x v="0"/>
    <x v="3"/>
    <x v="1"/>
    <s v="No"/>
    <s v="Y"/>
    <n v="2"/>
    <n v="-2"/>
    <n v="0"/>
    <n v="37"/>
    <n v="0"/>
    <m/>
    <n v="0"/>
    <n v="1"/>
    <n v="446"/>
    <n v="1"/>
    <x v="2"/>
    <n v="1"/>
    <n v="2"/>
    <n v="65"/>
    <n v="3"/>
    <n v="2"/>
    <n v="2"/>
    <n v="6447"/>
    <n v="15701"/>
    <n v="6"/>
    <n v="12"/>
    <n v="3"/>
    <n v="2"/>
    <n v="80"/>
    <n v="1"/>
    <n v="8"/>
    <n v="2"/>
    <n v="6"/>
    <n v="5"/>
    <n v="4"/>
    <n v="3"/>
  </r>
  <r>
    <x v="1"/>
    <s v="Travel_Rarely"/>
    <x v="1"/>
    <s v="Current Employees"/>
    <x v="1"/>
    <x v="0"/>
    <s v="STAFF-638"/>
    <n v="638"/>
    <x v="1"/>
    <x v="7"/>
    <x v="2"/>
    <s v="Yes"/>
    <s v="Y"/>
    <n v="5"/>
    <n v="-2"/>
    <n v="0"/>
    <n v="49"/>
    <n v="0"/>
    <m/>
    <n v="0"/>
    <n v="1"/>
    <n v="1245"/>
    <n v="18"/>
    <x v="2"/>
    <n v="1"/>
    <n v="4"/>
    <n v="58"/>
    <n v="2"/>
    <n v="5"/>
    <n v="2"/>
    <n v="19502"/>
    <n v="2125"/>
    <n v="1"/>
    <n v="17"/>
    <n v="3"/>
    <n v="3"/>
    <n v="80"/>
    <n v="1"/>
    <n v="31"/>
    <n v="3"/>
    <n v="31"/>
    <n v="9"/>
    <n v="0"/>
    <n v="9"/>
  </r>
  <r>
    <x v="1"/>
    <s v="Travel_Rarely"/>
    <x v="4"/>
    <s v="Current Employees"/>
    <x v="1"/>
    <x v="2"/>
    <s v="STAFF-639"/>
    <n v="639"/>
    <x v="1"/>
    <x v="1"/>
    <x v="1"/>
    <s v="Yes"/>
    <s v="Y"/>
    <n v="3"/>
    <n v="-2"/>
    <n v="0"/>
    <n v="24"/>
    <n v="0"/>
    <m/>
    <n v="0"/>
    <n v="1"/>
    <n v="691"/>
    <n v="23"/>
    <x v="3"/>
    <n v="1"/>
    <n v="2"/>
    <n v="89"/>
    <n v="4"/>
    <n v="1"/>
    <n v="4"/>
    <n v="2725"/>
    <n v="21630"/>
    <n v="1"/>
    <n v="11"/>
    <n v="3"/>
    <n v="2"/>
    <n v="80"/>
    <n v="2"/>
    <n v="6"/>
    <n v="3"/>
    <n v="6"/>
    <n v="5"/>
    <n v="1"/>
    <n v="4"/>
  </r>
  <r>
    <x v="1"/>
    <s v="Travel_Rarely"/>
    <x v="2"/>
    <s v="Current Employees"/>
    <x v="0"/>
    <x v="3"/>
    <s v="STAFF-641"/>
    <n v="641"/>
    <x v="1"/>
    <x v="0"/>
    <x v="1"/>
    <s v="No"/>
    <s v="Y"/>
    <n v="5"/>
    <n v="-2"/>
    <n v="0"/>
    <n v="26"/>
    <n v="0"/>
    <m/>
    <n v="0"/>
    <n v="1"/>
    <n v="703"/>
    <n v="28"/>
    <x v="0"/>
    <n v="1"/>
    <n v="1"/>
    <n v="66"/>
    <n v="3"/>
    <n v="2"/>
    <n v="1"/>
    <n v="6272"/>
    <n v="7428"/>
    <n v="1"/>
    <n v="20"/>
    <n v="4"/>
    <n v="4"/>
    <n v="80"/>
    <n v="2"/>
    <n v="6"/>
    <n v="4"/>
    <n v="5"/>
    <n v="3"/>
    <n v="1"/>
    <n v="4"/>
  </r>
  <r>
    <x v="1"/>
    <s v="Travel_Rarely"/>
    <x v="4"/>
    <s v="Current Employees"/>
    <x v="1"/>
    <x v="1"/>
    <s v="STAFF-643"/>
    <n v="643"/>
    <x v="1"/>
    <x v="2"/>
    <x v="1"/>
    <s v="No"/>
    <s v="Y"/>
    <n v="2"/>
    <n v="-2"/>
    <n v="0"/>
    <n v="24"/>
    <n v="0"/>
    <m/>
    <n v="0"/>
    <n v="1"/>
    <n v="823"/>
    <n v="17"/>
    <x v="0"/>
    <n v="1"/>
    <n v="4"/>
    <n v="94"/>
    <n v="2"/>
    <n v="1"/>
    <n v="3"/>
    <n v="2127"/>
    <n v="9100"/>
    <n v="1"/>
    <n v="21"/>
    <n v="4"/>
    <n v="4"/>
    <n v="80"/>
    <n v="1"/>
    <n v="1"/>
    <n v="3"/>
    <n v="1"/>
    <n v="0"/>
    <n v="0"/>
    <n v="0"/>
  </r>
  <r>
    <x v="1"/>
    <s v="Travel_Frequently"/>
    <x v="1"/>
    <s v="Current Employees"/>
    <x v="2"/>
    <x v="2"/>
    <s v="STAFF-644"/>
    <n v="644"/>
    <x v="1"/>
    <x v="5"/>
    <x v="1"/>
    <s v="No"/>
    <s v="Y"/>
    <n v="2"/>
    <n v="-2"/>
    <n v="0"/>
    <n v="50"/>
    <n v="0"/>
    <m/>
    <n v="0"/>
    <n v="1"/>
    <n v="1246"/>
    <n v="3"/>
    <x v="3"/>
    <n v="1"/>
    <n v="1"/>
    <n v="99"/>
    <n v="3"/>
    <n v="5"/>
    <n v="3"/>
    <n v="18200"/>
    <n v="7999"/>
    <n v="1"/>
    <n v="11"/>
    <n v="3"/>
    <n v="3"/>
    <n v="80"/>
    <n v="1"/>
    <n v="32"/>
    <n v="3"/>
    <n v="32"/>
    <n v="5"/>
    <n v="10"/>
    <n v="7"/>
  </r>
  <r>
    <x v="1"/>
    <s v="Travel_Rarely"/>
    <x v="2"/>
    <s v="Current Employees"/>
    <x v="0"/>
    <x v="2"/>
    <s v="STAFF-645"/>
    <n v="645"/>
    <x v="1"/>
    <x v="6"/>
    <x v="1"/>
    <s v="No"/>
    <s v="Y"/>
    <n v="1"/>
    <n v="-2"/>
    <n v="0"/>
    <n v="25"/>
    <n v="0"/>
    <m/>
    <n v="0"/>
    <n v="1"/>
    <n v="622"/>
    <n v="13"/>
    <x v="1"/>
    <n v="1"/>
    <n v="2"/>
    <n v="40"/>
    <n v="3"/>
    <n v="1"/>
    <n v="3"/>
    <n v="2096"/>
    <n v="26376"/>
    <n v="1"/>
    <n v="11"/>
    <n v="3"/>
    <n v="3"/>
    <n v="80"/>
    <n v="0"/>
    <n v="7"/>
    <n v="3"/>
    <n v="7"/>
    <n v="4"/>
    <n v="0"/>
    <n v="6"/>
  </r>
  <r>
    <x v="0"/>
    <s v="Travel_Frequently"/>
    <x v="4"/>
    <s v="Ex-Employees"/>
    <x v="1"/>
    <x v="0"/>
    <s v="STAFF-647"/>
    <n v="647"/>
    <x v="0"/>
    <x v="2"/>
    <x v="1"/>
    <s v="Yes"/>
    <s v="Y"/>
    <n v="4"/>
    <n v="-2"/>
    <n v="0"/>
    <n v="24"/>
    <n v="1"/>
    <n v="1"/>
    <n v="1"/>
    <n v="0"/>
    <n v="1287"/>
    <n v="7"/>
    <x v="3"/>
    <n v="1"/>
    <n v="1"/>
    <n v="55"/>
    <n v="3"/>
    <n v="1"/>
    <n v="2"/>
    <n v="2886"/>
    <n v="14168"/>
    <n v="1"/>
    <n v="16"/>
    <n v="3"/>
    <n v="4"/>
    <n v="80"/>
    <n v="1"/>
    <n v="6"/>
    <n v="3"/>
    <n v="6"/>
    <n v="3"/>
    <n v="1"/>
    <n v="2"/>
  </r>
  <r>
    <x v="0"/>
    <s v="Travel_Frequently"/>
    <x v="2"/>
    <s v="Ex-Employees"/>
    <x v="0"/>
    <x v="0"/>
    <s v="STAFF-648"/>
    <n v="648"/>
    <x v="1"/>
    <x v="6"/>
    <x v="1"/>
    <s v="No"/>
    <s v="Y"/>
    <n v="2"/>
    <n v="-2"/>
    <n v="0"/>
    <n v="30"/>
    <n v="1"/>
    <n v="1"/>
    <n v="1"/>
    <n v="0"/>
    <n v="448"/>
    <n v="12"/>
    <x v="2"/>
    <n v="1"/>
    <n v="2"/>
    <n v="74"/>
    <n v="2"/>
    <n v="1"/>
    <n v="2"/>
    <n v="2033"/>
    <n v="14470"/>
    <n v="1"/>
    <n v="18"/>
    <n v="3"/>
    <n v="3"/>
    <n v="80"/>
    <n v="1"/>
    <n v="1"/>
    <n v="4"/>
    <n v="1"/>
    <n v="0"/>
    <n v="0"/>
    <n v="0"/>
  </r>
  <r>
    <x v="1"/>
    <s v="Travel_Rarely"/>
    <x v="2"/>
    <s v="Current Employees"/>
    <x v="1"/>
    <x v="0"/>
    <s v="STAFF-649"/>
    <n v="649"/>
    <x v="1"/>
    <x v="1"/>
    <x v="1"/>
    <s v="Yes"/>
    <s v="Y"/>
    <n v="3"/>
    <n v="-2"/>
    <n v="0"/>
    <n v="34"/>
    <n v="0"/>
    <m/>
    <n v="0"/>
    <n v="1"/>
    <n v="254"/>
    <n v="1"/>
    <x v="0"/>
    <n v="1"/>
    <n v="2"/>
    <n v="83"/>
    <n v="2"/>
    <n v="1"/>
    <n v="2"/>
    <n v="3622"/>
    <n v="22794"/>
    <n v="1"/>
    <n v="13"/>
    <n v="3"/>
    <n v="4"/>
    <n v="80"/>
    <n v="1"/>
    <n v="6"/>
    <n v="3"/>
    <n v="6"/>
    <n v="5"/>
    <n v="1"/>
    <n v="3"/>
  </r>
  <r>
    <x v="0"/>
    <s v="Travel_Rarely"/>
    <x v="2"/>
    <s v="Ex-Employees"/>
    <x v="0"/>
    <x v="2"/>
    <s v="STAFF-650"/>
    <n v="650"/>
    <x v="1"/>
    <x v="0"/>
    <x v="2"/>
    <s v="No"/>
    <s v="Y"/>
    <n v="2"/>
    <n v="-2"/>
    <n v="0"/>
    <n v="31"/>
    <n v="1"/>
    <n v="1"/>
    <n v="1"/>
    <n v="0"/>
    <n v="1365"/>
    <n v="13"/>
    <x v="2"/>
    <n v="1"/>
    <n v="2"/>
    <n v="46"/>
    <n v="3"/>
    <n v="2"/>
    <n v="3"/>
    <n v="4233"/>
    <n v="11512"/>
    <n v="2"/>
    <n v="17"/>
    <n v="3"/>
    <n v="3"/>
    <n v="80"/>
    <n v="0"/>
    <n v="9"/>
    <n v="1"/>
    <n v="3"/>
    <n v="1"/>
    <n v="1"/>
    <n v="2"/>
  </r>
  <r>
    <x v="1"/>
    <s v="Travel_Rarely"/>
    <x v="0"/>
    <s v="Current Employees"/>
    <x v="1"/>
    <x v="1"/>
    <s v="STAFF-652"/>
    <n v="652"/>
    <x v="1"/>
    <x v="2"/>
    <x v="0"/>
    <s v="No"/>
    <s v="Y"/>
    <n v="3"/>
    <n v="-2"/>
    <n v="0"/>
    <n v="35"/>
    <n v="0"/>
    <m/>
    <n v="0"/>
    <n v="1"/>
    <n v="538"/>
    <n v="25"/>
    <x v="0"/>
    <n v="1"/>
    <n v="1"/>
    <n v="54"/>
    <n v="2"/>
    <n v="2"/>
    <n v="4"/>
    <n v="3681"/>
    <n v="14004"/>
    <n v="4"/>
    <n v="14"/>
    <n v="3"/>
    <n v="4"/>
    <n v="80"/>
    <n v="0"/>
    <n v="9"/>
    <n v="3"/>
    <n v="3"/>
    <n v="2"/>
    <n v="0"/>
    <n v="2"/>
  </r>
  <r>
    <x v="1"/>
    <s v="Travel_Rarely"/>
    <x v="2"/>
    <s v="Current Employees"/>
    <x v="0"/>
    <x v="2"/>
    <s v="STAFF-653"/>
    <n v="653"/>
    <x v="1"/>
    <x v="0"/>
    <x v="2"/>
    <s v="No"/>
    <s v="Y"/>
    <n v="4"/>
    <n v="-2"/>
    <n v="0"/>
    <n v="31"/>
    <n v="0"/>
    <m/>
    <n v="0"/>
    <n v="1"/>
    <n v="525"/>
    <n v="6"/>
    <x v="2"/>
    <n v="1"/>
    <n v="1"/>
    <n v="66"/>
    <n v="4"/>
    <n v="2"/>
    <n v="4"/>
    <n v="5460"/>
    <n v="6219"/>
    <n v="4"/>
    <n v="22"/>
    <n v="4"/>
    <n v="4"/>
    <n v="80"/>
    <n v="2"/>
    <n v="13"/>
    <n v="4"/>
    <n v="7"/>
    <n v="7"/>
    <n v="5"/>
    <n v="7"/>
  </r>
  <r>
    <x v="1"/>
    <s v="Travel_Rarely"/>
    <x v="2"/>
    <s v="Current Employees"/>
    <x v="1"/>
    <x v="2"/>
    <s v="STAFF-655"/>
    <n v="655"/>
    <x v="0"/>
    <x v="1"/>
    <x v="2"/>
    <s v="No"/>
    <s v="Y"/>
    <n v="5"/>
    <n v="-2"/>
    <n v="0"/>
    <n v="27"/>
    <n v="0"/>
    <m/>
    <n v="0"/>
    <n v="1"/>
    <n v="798"/>
    <n v="6"/>
    <x v="2"/>
    <n v="1"/>
    <n v="1"/>
    <n v="66"/>
    <n v="2"/>
    <n v="1"/>
    <n v="3"/>
    <n v="2187"/>
    <n v="5013"/>
    <n v="0"/>
    <n v="12"/>
    <n v="3"/>
    <n v="3"/>
    <n v="80"/>
    <n v="2"/>
    <n v="6"/>
    <n v="2"/>
    <n v="5"/>
    <n v="3"/>
    <n v="0"/>
    <n v="3"/>
  </r>
  <r>
    <x v="1"/>
    <s v="Travel_Rarely"/>
    <x v="0"/>
    <s v="Current Employees"/>
    <x v="0"/>
    <x v="3"/>
    <s v="STAFF-656"/>
    <n v="656"/>
    <x v="1"/>
    <x v="0"/>
    <x v="1"/>
    <s v="Yes"/>
    <s v="Y"/>
    <n v="3"/>
    <n v="-2"/>
    <n v="0"/>
    <n v="37"/>
    <n v="0"/>
    <m/>
    <n v="0"/>
    <n v="1"/>
    <n v="558"/>
    <n v="2"/>
    <x v="3"/>
    <n v="1"/>
    <n v="4"/>
    <n v="75"/>
    <n v="3"/>
    <n v="2"/>
    <n v="1"/>
    <n v="9602"/>
    <n v="3010"/>
    <n v="4"/>
    <n v="11"/>
    <n v="3"/>
    <n v="3"/>
    <n v="80"/>
    <n v="1"/>
    <n v="17"/>
    <n v="2"/>
    <n v="3"/>
    <n v="0"/>
    <n v="1"/>
    <n v="0"/>
  </r>
  <r>
    <x v="1"/>
    <s v="Travel_Rarely"/>
    <x v="4"/>
    <s v="Current Employees"/>
    <x v="1"/>
    <x v="0"/>
    <s v="STAFF-657"/>
    <n v="657"/>
    <x v="0"/>
    <x v="1"/>
    <x v="0"/>
    <s v="No"/>
    <s v="Y"/>
    <n v="0"/>
    <n v="-2"/>
    <n v="0"/>
    <n v="20"/>
    <n v="0"/>
    <m/>
    <n v="0"/>
    <n v="1"/>
    <n v="959"/>
    <n v="1"/>
    <x v="3"/>
    <n v="1"/>
    <n v="4"/>
    <n v="83"/>
    <n v="2"/>
    <n v="1"/>
    <n v="2"/>
    <n v="2836"/>
    <n v="11757"/>
    <n v="1"/>
    <n v="13"/>
    <n v="3"/>
    <n v="4"/>
    <n v="80"/>
    <n v="0"/>
    <n v="1"/>
    <n v="4"/>
    <n v="1"/>
    <n v="0"/>
    <n v="0"/>
    <n v="0"/>
  </r>
  <r>
    <x v="1"/>
    <s v="Travel_Rarely"/>
    <x v="0"/>
    <s v="Current Employees"/>
    <x v="1"/>
    <x v="0"/>
    <s v="STAFF-659"/>
    <n v="659"/>
    <x v="0"/>
    <x v="4"/>
    <x v="1"/>
    <s v="No"/>
    <s v="Y"/>
    <n v="4"/>
    <n v="-2"/>
    <n v="0"/>
    <n v="42"/>
    <n v="0"/>
    <m/>
    <n v="0"/>
    <n v="1"/>
    <n v="622"/>
    <n v="2"/>
    <x v="2"/>
    <n v="1"/>
    <n v="3"/>
    <n v="81"/>
    <n v="3"/>
    <n v="2"/>
    <n v="2"/>
    <n v="4089"/>
    <n v="5718"/>
    <n v="1"/>
    <n v="13"/>
    <n v="3"/>
    <n v="2"/>
    <n v="80"/>
    <n v="2"/>
    <n v="10"/>
    <n v="3"/>
    <n v="10"/>
    <n v="2"/>
    <n v="2"/>
    <n v="2"/>
  </r>
  <r>
    <x v="1"/>
    <s v="Travel_Rarely"/>
    <x v="0"/>
    <s v="Current Employees"/>
    <x v="1"/>
    <x v="1"/>
    <s v="STAFF-661"/>
    <n v="661"/>
    <x v="1"/>
    <x v="7"/>
    <x v="2"/>
    <s v="Yes"/>
    <s v="Y"/>
    <n v="3"/>
    <n v="-2"/>
    <n v="0"/>
    <n v="43"/>
    <n v="0"/>
    <m/>
    <n v="0"/>
    <n v="1"/>
    <n v="782"/>
    <n v="6"/>
    <x v="2"/>
    <n v="1"/>
    <n v="2"/>
    <n v="50"/>
    <n v="2"/>
    <n v="4"/>
    <n v="4"/>
    <n v="16627"/>
    <n v="2671"/>
    <n v="4"/>
    <n v="14"/>
    <n v="3"/>
    <n v="3"/>
    <n v="80"/>
    <n v="1"/>
    <n v="21"/>
    <n v="2"/>
    <n v="1"/>
    <n v="0"/>
    <n v="0"/>
    <n v="0"/>
  </r>
  <r>
    <x v="1"/>
    <s v="Travel_Rarely"/>
    <x v="0"/>
    <s v="Current Employees"/>
    <x v="1"/>
    <x v="0"/>
    <s v="STAFF-662"/>
    <n v="662"/>
    <x v="0"/>
    <x v="1"/>
    <x v="0"/>
    <s v="No"/>
    <s v="Y"/>
    <n v="3"/>
    <n v="-2"/>
    <n v="0"/>
    <n v="38"/>
    <n v="0"/>
    <m/>
    <n v="0"/>
    <n v="1"/>
    <n v="362"/>
    <n v="1"/>
    <x v="1"/>
    <n v="1"/>
    <n v="3"/>
    <n v="43"/>
    <n v="3"/>
    <n v="1"/>
    <n v="2"/>
    <n v="2619"/>
    <n v="14561"/>
    <n v="3"/>
    <n v="17"/>
    <n v="3"/>
    <n v="4"/>
    <n v="80"/>
    <n v="0"/>
    <n v="8"/>
    <n v="2"/>
    <n v="0"/>
    <n v="0"/>
    <n v="0"/>
    <n v="0"/>
  </r>
  <r>
    <x v="1"/>
    <s v="Travel_Frequently"/>
    <x v="0"/>
    <s v="Current Employees"/>
    <x v="1"/>
    <x v="2"/>
    <s v="STAFF-663"/>
    <n v="663"/>
    <x v="1"/>
    <x v="2"/>
    <x v="2"/>
    <s v="Yes"/>
    <s v="Y"/>
    <n v="3"/>
    <n v="-2"/>
    <n v="0"/>
    <n v="43"/>
    <n v="0"/>
    <m/>
    <n v="0"/>
    <n v="1"/>
    <n v="1001"/>
    <n v="9"/>
    <x v="4"/>
    <n v="1"/>
    <n v="4"/>
    <n v="72"/>
    <n v="3"/>
    <n v="2"/>
    <n v="3"/>
    <n v="5679"/>
    <n v="19627"/>
    <n v="3"/>
    <n v="13"/>
    <n v="3"/>
    <n v="2"/>
    <n v="80"/>
    <n v="1"/>
    <n v="10"/>
    <n v="3"/>
    <n v="8"/>
    <n v="7"/>
    <n v="4"/>
    <n v="7"/>
  </r>
  <r>
    <x v="1"/>
    <s v="Travel_Rarely"/>
    <x v="1"/>
    <s v="Current Employees"/>
    <x v="1"/>
    <x v="0"/>
    <s v="STAFF-664"/>
    <n v="664"/>
    <x v="0"/>
    <x v="5"/>
    <x v="1"/>
    <s v="No"/>
    <s v="Y"/>
    <n v="3"/>
    <n v="-2"/>
    <n v="0"/>
    <n v="48"/>
    <n v="0"/>
    <m/>
    <n v="0"/>
    <n v="1"/>
    <n v="1236"/>
    <n v="1"/>
    <x v="2"/>
    <n v="1"/>
    <n v="4"/>
    <n v="40"/>
    <n v="2"/>
    <n v="4"/>
    <n v="2"/>
    <n v="15402"/>
    <n v="17997"/>
    <n v="7"/>
    <n v="11"/>
    <n v="3"/>
    <n v="1"/>
    <n v="80"/>
    <n v="1"/>
    <n v="21"/>
    <n v="1"/>
    <n v="3"/>
    <n v="2"/>
    <n v="0"/>
    <n v="2"/>
  </r>
  <r>
    <x v="1"/>
    <s v="Travel_Rarely"/>
    <x v="0"/>
    <s v="Current Employees"/>
    <x v="2"/>
    <x v="0"/>
    <s v="STAFF-665"/>
    <n v="665"/>
    <x v="0"/>
    <x v="8"/>
    <x v="0"/>
    <s v="No"/>
    <s v="Y"/>
    <n v="1"/>
    <n v="-2"/>
    <n v="0"/>
    <n v="44"/>
    <n v="0"/>
    <m/>
    <n v="0"/>
    <n v="1"/>
    <n v="1112"/>
    <n v="1"/>
    <x v="2"/>
    <n v="1"/>
    <n v="1"/>
    <n v="50"/>
    <n v="2"/>
    <n v="2"/>
    <n v="2"/>
    <n v="5985"/>
    <n v="26894"/>
    <n v="4"/>
    <n v="11"/>
    <n v="3"/>
    <n v="2"/>
    <n v="80"/>
    <n v="0"/>
    <n v="10"/>
    <n v="4"/>
    <n v="2"/>
    <n v="2"/>
    <n v="0"/>
    <n v="2"/>
  </r>
  <r>
    <x v="1"/>
    <s v="Travel_Rarely"/>
    <x v="2"/>
    <s v="Current Employees"/>
    <x v="0"/>
    <x v="4"/>
    <s v="STAFF-666"/>
    <n v="666"/>
    <x v="0"/>
    <x v="6"/>
    <x v="2"/>
    <s v="Yes"/>
    <s v="Y"/>
    <n v="3"/>
    <n v="-2"/>
    <n v="0"/>
    <n v="34"/>
    <n v="0"/>
    <m/>
    <n v="0"/>
    <n v="1"/>
    <n v="204"/>
    <n v="14"/>
    <x v="3"/>
    <n v="1"/>
    <n v="4"/>
    <n v="31"/>
    <n v="3"/>
    <n v="1"/>
    <n v="4"/>
    <n v="2579"/>
    <n v="2912"/>
    <n v="1"/>
    <n v="18"/>
    <n v="3"/>
    <n v="4"/>
    <n v="80"/>
    <n v="2"/>
    <n v="8"/>
    <n v="3"/>
    <n v="8"/>
    <n v="2"/>
    <n v="0"/>
    <n v="6"/>
  </r>
  <r>
    <x v="0"/>
    <s v="Travel_Rarely"/>
    <x v="2"/>
    <s v="Ex-Employees"/>
    <x v="0"/>
    <x v="3"/>
    <s v="STAFF-667"/>
    <n v="667"/>
    <x v="1"/>
    <x v="6"/>
    <x v="2"/>
    <s v="No"/>
    <s v="Y"/>
    <n v="3"/>
    <n v="-2"/>
    <n v="0"/>
    <n v="27"/>
    <n v="1"/>
    <n v="1"/>
    <n v="1"/>
    <n v="0"/>
    <n v="1420"/>
    <n v="2"/>
    <x v="1"/>
    <n v="1"/>
    <n v="3"/>
    <n v="85"/>
    <n v="3"/>
    <n v="1"/>
    <n v="1"/>
    <n v="3041"/>
    <n v="16346"/>
    <n v="0"/>
    <n v="11"/>
    <n v="3"/>
    <n v="2"/>
    <n v="80"/>
    <n v="1"/>
    <n v="5"/>
    <n v="3"/>
    <n v="4"/>
    <n v="3"/>
    <n v="0"/>
    <n v="2"/>
  </r>
  <r>
    <x v="1"/>
    <s v="Travel_Rarely"/>
    <x v="4"/>
    <s v="Current Employees"/>
    <x v="0"/>
    <x v="4"/>
    <s v="STAFF-669"/>
    <n v="669"/>
    <x v="1"/>
    <x v="6"/>
    <x v="0"/>
    <s v="No"/>
    <s v="Y"/>
    <n v="2"/>
    <n v="-2"/>
    <n v="0"/>
    <n v="21"/>
    <n v="0"/>
    <m/>
    <n v="0"/>
    <n v="1"/>
    <n v="1343"/>
    <n v="22"/>
    <x v="1"/>
    <n v="1"/>
    <n v="4"/>
    <n v="49"/>
    <n v="3"/>
    <n v="1"/>
    <n v="4"/>
    <n v="3447"/>
    <n v="24444"/>
    <n v="1"/>
    <n v="11"/>
    <n v="3"/>
    <n v="3"/>
    <n v="80"/>
    <n v="0"/>
    <n v="3"/>
    <n v="3"/>
    <n v="3"/>
    <n v="2"/>
    <n v="1"/>
    <n v="2"/>
  </r>
  <r>
    <x v="1"/>
    <s v="Travel_Rarely"/>
    <x v="0"/>
    <s v="Current Employees"/>
    <x v="1"/>
    <x v="1"/>
    <s v="STAFF-671"/>
    <n v="671"/>
    <x v="1"/>
    <x v="5"/>
    <x v="1"/>
    <s v="Yes"/>
    <s v="Y"/>
    <n v="2"/>
    <n v="-2"/>
    <n v="0"/>
    <n v="44"/>
    <n v="0"/>
    <m/>
    <n v="0"/>
    <n v="1"/>
    <n v="1315"/>
    <n v="3"/>
    <x v="2"/>
    <n v="1"/>
    <n v="4"/>
    <n v="35"/>
    <n v="3"/>
    <n v="5"/>
    <n v="4"/>
    <n v="19513"/>
    <n v="9358"/>
    <n v="4"/>
    <n v="12"/>
    <n v="3"/>
    <n v="1"/>
    <n v="80"/>
    <n v="1"/>
    <n v="26"/>
    <n v="4"/>
    <n v="2"/>
    <n v="2"/>
    <n v="0"/>
    <n v="1"/>
  </r>
  <r>
    <x v="1"/>
    <s v="Travel_Rarely"/>
    <x v="4"/>
    <s v="Current Employees"/>
    <x v="1"/>
    <x v="2"/>
    <s v="STAFF-675"/>
    <n v="675"/>
    <x v="1"/>
    <x v="1"/>
    <x v="1"/>
    <s v="No"/>
    <s v="Y"/>
    <n v="3"/>
    <n v="-2"/>
    <n v="0"/>
    <n v="22"/>
    <n v="0"/>
    <m/>
    <n v="0"/>
    <n v="1"/>
    <n v="604"/>
    <n v="6"/>
    <x v="1"/>
    <n v="1"/>
    <n v="1"/>
    <n v="69"/>
    <n v="3"/>
    <n v="1"/>
    <n v="3"/>
    <n v="2773"/>
    <n v="12145"/>
    <n v="0"/>
    <n v="20"/>
    <n v="4"/>
    <n v="4"/>
    <n v="80"/>
    <n v="0"/>
    <n v="3"/>
    <n v="3"/>
    <n v="2"/>
    <n v="2"/>
    <n v="2"/>
    <n v="2"/>
  </r>
  <r>
    <x v="1"/>
    <s v="Travel_Rarely"/>
    <x v="2"/>
    <s v="Current Employees"/>
    <x v="0"/>
    <x v="3"/>
    <s v="STAFF-677"/>
    <n v="677"/>
    <x v="1"/>
    <x v="0"/>
    <x v="2"/>
    <s v="No"/>
    <s v="Y"/>
    <n v="3"/>
    <n v="-2"/>
    <n v="0"/>
    <n v="33"/>
    <n v="0"/>
    <m/>
    <n v="0"/>
    <n v="1"/>
    <n v="1216"/>
    <n v="8"/>
    <x v="2"/>
    <n v="1"/>
    <n v="3"/>
    <n v="39"/>
    <n v="3"/>
    <n v="2"/>
    <n v="1"/>
    <n v="7104"/>
    <n v="20431"/>
    <n v="0"/>
    <n v="12"/>
    <n v="3"/>
    <n v="4"/>
    <n v="80"/>
    <n v="0"/>
    <n v="6"/>
    <n v="3"/>
    <n v="5"/>
    <n v="0"/>
    <n v="1"/>
    <n v="2"/>
  </r>
  <r>
    <x v="1"/>
    <s v="Travel_Rarely"/>
    <x v="2"/>
    <s v="Current Employees"/>
    <x v="1"/>
    <x v="0"/>
    <s v="STAFF-679"/>
    <n v="679"/>
    <x v="0"/>
    <x v="1"/>
    <x v="1"/>
    <s v="Yes"/>
    <s v="Y"/>
    <n v="2"/>
    <n v="-2"/>
    <n v="0"/>
    <n v="32"/>
    <n v="0"/>
    <m/>
    <n v="0"/>
    <n v="1"/>
    <n v="646"/>
    <n v="9"/>
    <x v="2"/>
    <n v="1"/>
    <n v="1"/>
    <n v="92"/>
    <n v="3"/>
    <n v="2"/>
    <n v="2"/>
    <n v="6322"/>
    <n v="18089"/>
    <n v="1"/>
    <n v="12"/>
    <n v="3"/>
    <n v="4"/>
    <n v="80"/>
    <n v="1"/>
    <n v="6"/>
    <n v="2"/>
    <n v="6"/>
    <n v="4"/>
    <n v="0"/>
    <n v="5"/>
  </r>
  <r>
    <x v="1"/>
    <s v="Travel_Frequently"/>
    <x v="2"/>
    <s v="Current Employees"/>
    <x v="1"/>
    <x v="2"/>
    <s v="STAFF-680"/>
    <n v="680"/>
    <x v="0"/>
    <x v="1"/>
    <x v="2"/>
    <s v="No"/>
    <s v="Y"/>
    <n v="2"/>
    <n v="-2"/>
    <n v="0"/>
    <n v="30"/>
    <n v="0"/>
    <m/>
    <n v="0"/>
    <n v="1"/>
    <n v="160"/>
    <n v="3"/>
    <x v="3"/>
    <n v="1"/>
    <n v="3"/>
    <n v="71"/>
    <n v="3"/>
    <n v="1"/>
    <n v="3"/>
    <n v="2083"/>
    <n v="22653"/>
    <n v="1"/>
    <n v="20"/>
    <n v="4"/>
    <n v="3"/>
    <n v="80"/>
    <n v="1"/>
    <n v="1"/>
    <n v="3"/>
    <n v="1"/>
    <n v="0"/>
    <n v="0"/>
    <n v="0"/>
  </r>
  <r>
    <x v="1"/>
    <s v="Travel_Rarely"/>
    <x v="1"/>
    <s v="Current Employees"/>
    <x v="0"/>
    <x v="2"/>
    <s v="STAFF-682"/>
    <n v="682"/>
    <x v="0"/>
    <x v="0"/>
    <x v="0"/>
    <s v="No"/>
    <s v="Y"/>
    <n v="2"/>
    <n v="-2"/>
    <n v="0"/>
    <n v="53"/>
    <n v="0"/>
    <m/>
    <n v="0"/>
    <n v="1"/>
    <n v="238"/>
    <n v="1"/>
    <x v="1"/>
    <n v="1"/>
    <n v="4"/>
    <n v="34"/>
    <n v="3"/>
    <n v="2"/>
    <n v="3"/>
    <n v="8381"/>
    <n v="7507"/>
    <n v="7"/>
    <n v="20"/>
    <n v="4"/>
    <n v="4"/>
    <n v="80"/>
    <n v="0"/>
    <n v="18"/>
    <n v="4"/>
    <n v="14"/>
    <n v="7"/>
    <n v="8"/>
    <n v="10"/>
  </r>
  <r>
    <x v="1"/>
    <s v="Travel_Rarely"/>
    <x v="2"/>
    <s v="Current Employees"/>
    <x v="1"/>
    <x v="0"/>
    <s v="STAFF-683"/>
    <n v="683"/>
    <x v="1"/>
    <x v="1"/>
    <x v="1"/>
    <s v="No"/>
    <s v="Y"/>
    <n v="4"/>
    <n v="-2"/>
    <n v="0"/>
    <n v="34"/>
    <n v="0"/>
    <m/>
    <n v="0"/>
    <n v="1"/>
    <n v="1397"/>
    <n v="1"/>
    <x v="4"/>
    <n v="1"/>
    <n v="2"/>
    <n v="42"/>
    <n v="3"/>
    <n v="1"/>
    <n v="2"/>
    <n v="2691"/>
    <n v="7660"/>
    <n v="1"/>
    <n v="12"/>
    <n v="3"/>
    <n v="4"/>
    <n v="80"/>
    <n v="1"/>
    <n v="10"/>
    <n v="2"/>
    <n v="10"/>
    <n v="9"/>
    <n v="8"/>
    <n v="8"/>
  </r>
  <r>
    <x v="0"/>
    <s v="Travel_Frequently"/>
    <x v="1"/>
    <s v="Ex-Employees"/>
    <x v="0"/>
    <x v="0"/>
    <s v="STAFF-684"/>
    <n v="684"/>
    <x v="0"/>
    <x v="0"/>
    <x v="1"/>
    <s v="No"/>
    <s v="Y"/>
    <n v="4"/>
    <n v="-2"/>
    <n v="0"/>
    <n v="45"/>
    <n v="1"/>
    <n v="1"/>
    <n v="1"/>
    <n v="0"/>
    <n v="306"/>
    <n v="26"/>
    <x v="2"/>
    <n v="1"/>
    <n v="1"/>
    <n v="100"/>
    <n v="3"/>
    <n v="2"/>
    <n v="2"/>
    <n v="4286"/>
    <n v="5630"/>
    <n v="2"/>
    <n v="14"/>
    <n v="3"/>
    <n v="4"/>
    <n v="80"/>
    <n v="2"/>
    <n v="5"/>
    <n v="3"/>
    <n v="1"/>
    <n v="1"/>
    <n v="0"/>
    <n v="0"/>
  </r>
  <r>
    <x v="1"/>
    <s v="Travel_Rarely"/>
    <x v="2"/>
    <s v="Current Employees"/>
    <x v="1"/>
    <x v="0"/>
    <s v="STAFF-686"/>
    <n v="686"/>
    <x v="0"/>
    <x v="2"/>
    <x v="1"/>
    <s v="Yes"/>
    <s v="Y"/>
    <n v="2"/>
    <n v="-2"/>
    <n v="0"/>
    <n v="26"/>
    <n v="0"/>
    <m/>
    <n v="0"/>
    <n v="1"/>
    <n v="991"/>
    <n v="6"/>
    <x v="3"/>
    <n v="1"/>
    <n v="3"/>
    <n v="71"/>
    <n v="3"/>
    <n v="1"/>
    <n v="2"/>
    <n v="2659"/>
    <n v="17759"/>
    <n v="1"/>
    <n v="13"/>
    <n v="3"/>
    <n v="3"/>
    <n v="80"/>
    <n v="1"/>
    <n v="3"/>
    <n v="3"/>
    <n v="3"/>
    <n v="2"/>
    <n v="0"/>
    <n v="2"/>
  </r>
  <r>
    <x v="1"/>
    <s v="Travel_Rarely"/>
    <x v="0"/>
    <s v="Current Employees"/>
    <x v="1"/>
    <x v="1"/>
    <s v="STAFF-689"/>
    <n v="689"/>
    <x v="1"/>
    <x v="3"/>
    <x v="1"/>
    <s v="No"/>
    <s v="Y"/>
    <n v="2"/>
    <n v="-2"/>
    <n v="0"/>
    <n v="37"/>
    <n v="0"/>
    <m/>
    <n v="0"/>
    <n v="1"/>
    <n v="482"/>
    <n v="3"/>
    <x v="3"/>
    <n v="1"/>
    <n v="3"/>
    <n v="36"/>
    <n v="3"/>
    <n v="3"/>
    <n v="3"/>
    <n v="9434"/>
    <n v="9606"/>
    <n v="1"/>
    <n v="15"/>
    <n v="3"/>
    <n v="3"/>
    <n v="80"/>
    <n v="1"/>
    <n v="10"/>
    <n v="3"/>
    <n v="10"/>
    <n v="7"/>
    <n v="7"/>
    <n v="8"/>
  </r>
  <r>
    <x v="1"/>
    <s v="Travel_Rarely"/>
    <x v="2"/>
    <s v="Current Employees"/>
    <x v="0"/>
    <x v="2"/>
    <s v="STAFF-690"/>
    <n v="690"/>
    <x v="0"/>
    <x v="0"/>
    <x v="1"/>
    <s v="No"/>
    <s v="Y"/>
    <n v="5"/>
    <n v="-2"/>
    <n v="0"/>
    <n v="29"/>
    <n v="0"/>
    <m/>
    <n v="0"/>
    <n v="1"/>
    <n v="1176"/>
    <n v="3"/>
    <x v="0"/>
    <n v="1"/>
    <n v="2"/>
    <n v="62"/>
    <n v="3"/>
    <n v="2"/>
    <n v="3"/>
    <n v="5561"/>
    <n v="3487"/>
    <n v="1"/>
    <n v="14"/>
    <n v="3"/>
    <n v="1"/>
    <n v="80"/>
    <n v="1"/>
    <n v="6"/>
    <n v="2"/>
    <n v="6"/>
    <n v="0"/>
    <n v="1"/>
    <n v="2"/>
  </r>
  <r>
    <x v="1"/>
    <s v="Travel_Rarely"/>
    <x v="0"/>
    <s v="Current Employees"/>
    <x v="1"/>
    <x v="0"/>
    <s v="STAFF-691"/>
    <n v="691"/>
    <x v="1"/>
    <x v="1"/>
    <x v="0"/>
    <s v="No"/>
    <s v="Y"/>
    <n v="3"/>
    <n v="-2"/>
    <n v="0"/>
    <n v="35"/>
    <n v="0"/>
    <m/>
    <n v="0"/>
    <n v="1"/>
    <n v="1017"/>
    <n v="6"/>
    <x v="2"/>
    <n v="1"/>
    <n v="2"/>
    <n v="82"/>
    <n v="1"/>
    <n v="2"/>
    <n v="2"/>
    <n v="6646"/>
    <n v="19368"/>
    <n v="1"/>
    <n v="13"/>
    <n v="3"/>
    <n v="2"/>
    <n v="80"/>
    <n v="0"/>
    <n v="17"/>
    <n v="3"/>
    <n v="17"/>
    <n v="11"/>
    <n v="11"/>
    <n v="8"/>
  </r>
  <r>
    <x v="1"/>
    <s v="Travel_Frequently"/>
    <x v="2"/>
    <s v="Current Employees"/>
    <x v="1"/>
    <x v="0"/>
    <s v="STAFF-692"/>
    <n v="692"/>
    <x v="1"/>
    <x v="4"/>
    <x v="2"/>
    <s v="No"/>
    <s v="Y"/>
    <n v="2"/>
    <n v="-2"/>
    <n v="0"/>
    <n v="33"/>
    <n v="0"/>
    <m/>
    <n v="0"/>
    <n v="1"/>
    <n v="1296"/>
    <n v="6"/>
    <x v="3"/>
    <n v="1"/>
    <n v="3"/>
    <n v="30"/>
    <n v="3"/>
    <n v="2"/>
    <n v="2"/>
    <n v="7725"/>
    <n v="5335"/>
    <n v="3"/>
    <n v="23"/>
    <n v="4"/>
    <n v="3"/>
    <n v="80"/>
    <n v="1"/>
    <n v="15"/>
    <n v="1"/>
    <n v="13"/>
    <n v="11"/>
    <n v="4"/>
    <n v="7"/>
  </r>
  <r>
    <x v="1"/>
    <s v="Travel_Rarely"/>
    <x v="1"/>
    <s v="Current Employees"/>
    <x v="2"/>
    <x v="2"/>
    <s v="STAFF-698"/>
    <n v="698"/>
    <x v="1"/>
    <x v="8"/>
    <x v="1"/>
    <s v="No"/>
    <s v="Y"/>
    <n v="1"/>
    <n v="-2"/>
    <n v="0"/>
    <n v="54"/>
    <n v="0"/>
    <m/>
    <n v="0"/>
    <n v="1"/>
    <n v="397"/>
    <n v="19"/>
    <x v="2"/>
    <n v="1"/>
    <n v="3"/>
    <n v="88"/>
    <n v="3"/>
    <n v="3"/>
    <n v="3"/>
    <n v="10725"/>
    <n v="6729"/>
    <n v="2"/>
    <n v="15"/>
    <n v="3"/>
    <n v="3"/>
    <n v="80"/>
    <n v="1"/>
    <n v="16"/>
    <n v="4"/>
    <n v="9"/>
    <n v="7"/>
    <n v="7"/>
    <n v="1"/>
  </r>
  <r>
    <x v="1"/>
    <s v="Travel_Rarely"/>
    <x v="0"/>
    <s v="Current Employees"/>
    <x v="1"/>
    <x v="2"/>
    <s v="STAFF-699"/>
    <n v="699"/>
    <x v="1"/>
    <x v="3"/>
    <x v="2"/>
    <s v="Yes"/>
    <s v="Y"/>
    <n v="2"/>
    <n v="-2"/>
    <n v="0"/>
    <n v="36"/>
    <n v="0"/>
    <m/>
    <n v="0"/>
    <n v="1"/>
    <n v="913"/>
    <n v="9"/>
    <x v="0"/>
    <n v="1"/>
    <n v="2"/>
    <n v="48"/>
    <n v="2"/>
    <n v="2"/>
    <n v="3"/>
    <n v="8847"/>
    <n v="13934"/>
    <n v="2"/>
    <n v="11"/>
    <n v="3"/>
    <n v="3"/>
    <n v="80"/>
    <n v="1"/>
    <n v="13"/>
    <n v="3"/>
    <n v="3"/>
    <n v="2"/>
    <n v="0"/>
    <n v="2"/>
  </r>
  <r>
    <x v="1"/>
    <s v="Travel_Rarely"/>
    <x v="2"/>
    <s v="Current Employees"/>
    <x v="1"/>
    <x v="2"/>
    <s v="STAFF-700"/>
    <n v="700"/>
    <x v="1"/>
    <x v="1"/>
    <x v="0"/>
    <s v="No"/>
    <s v="Y"/>
    <n v="0"/>
    <n v="-2"/>
    <n v="0"/>
    <n v="27"/>
    <n v="0"/>
    <m/>
    <n v="0"/>
    <n v="1"/>
    <n v="1115"/>
    <n v="3"/>
    <x v="2"/>
    <n v="1"/>
    <n v="1"/>
    <n v="54"/>
    <n v="2"/>
    <n v="1"/>
    <n v="4"/>
    <n v="2045"/>
    <n v="15174"/>
    <n v="0"/>
    <n v="13"/>
    <n v="3"/>
    <n v="4"/>
    <n v="80"/>
    <n v="0"/>
    <n v="5"/>
    <n v="3"/>
    <n v="4"/>
    <n v="2"/>
    <n v="1"/>
    <n v="1"/>
  </r>
  <r>
    <x v="0"/>
    <s v="Travel_Rarely"/>
    <x v="4"/>
    <s v="Ex-Employees"/>
    <x v="1"/>
    <x v="2"/>
    <s v="STAFF-701"/>
    <n v="701"/>
    <x v="1"/>
    <x v="1"/>
    <x v="0"/>
    <s v="Yes"/>
    <s v="Y"/>
    <n v="5"/>
    <n v="-2"/>
    <n v="0"/>
    <n v="20"/>
    <n v="1"/>
    <n v="1"/>
    <n v="1"/>
    <n v="0"/>
    <n v="1362"/>
    <n v="10"/>
    <x v="1"/>
    <n v="1"/>
    <n v="4"/>
    <n v="32"/>
    <n v="3"/>
    <n v="1"/>
    <n v="3"/>
    <n v="1009"/>
    <n v="26999"/>
    <n v="1"/>
    <n v="11"/>
    <n v="3"/>
    <n v="4"/>
    <n v="80"/>
    <n v="0"/>
    <n v="1"/>
    <n v="3"/>
    <n v="1"/>
    <n v="0"/>
    <n v="1"/>
    <n v="1"/>
  </r>
  <r>
    <x v="0"/>
    <s v="Travel_Frequently"/>
    <x v="2"/>
    <s v="Ex-Employees"/>
    <x v="1"/>
    <x v="0"/>
    <s v="STAFF-702"/>
    <n v="702"/>
    <x v="1"/>
    <x v="1"/>
    <x v="0"/>
    <s v="Yes"/>
    <s v="Y"/>
    <n v="3"/>
    <n v="-2"/>
    <n v="0"/>
    <n v="33"/>
    <n v="1"/>
    <n v="1"/>
    <n v="1"/>
    <n v="0"/>
    <n v="1076"/>
    <n v="3"/>
    <x v="3"/>
    <n v="1"/>
    <n v="1"/>
    <n v="70"/>
    <n v="3"/>
    <n v="1"/>
    <n v="2"/>
    <n v="3348"/>
    <n v="3164"/>
    <n v="1"/>
    <n v="11"/>
    <n v="3"/>
    <n v="1"/>
    <n v="80"/>
    <n v="0"/>
    <n v="10"/>
    <n v="3"/>
    <n v="10"/>
    <n v="8"/>
    <n v="9"/>
    <n v="7"/>
  </r>
  <r>
    <x v="1"/>
    <s v="Non-Travel"/>
    <x v="0"/>
    <s v="Current Employees"/>
    <x v="1"/>
    <x v="0"/>
    <s v="STAFF-704"/>
    <n v="704"/>
    <x v="1"/>
    <x v="2"/>
    <x v="1"/>
    <s v="No"/>
    <s v="Y"/>
    <n v="3"/>
    <n v="-2"/>
    <n v="0"/>
    <n v="35"/>
    <n v="0"/>
    <m/>
    <n v="0"/>
    <n v="1"/>
    <n v="727"/>
    <n v="3"/>
    <x v="3"/>
    <n v="1"/>
    <n v="3"/>
    <n v="41"/>
    <n v="2"/>
    <n v="1"/>
    <n v="2"/>
    <n v="1281"/>
    <n v="16900"/>
    <n v="1"/>
    <n v="18"/>
    <n v="3"/>
    <n v="3"/>
    <n v="80"/>
    <n v="2"/>
    <n v="1"/>
    <n v="3"/>
    <n v="1"/>
    <n v="0"/>
    <n v="0"/>
    <n v="0"/>
  </r>
  <r>
    <x v="1"/>
    <s v="Travel_Rarely"/>
    <x v="4"/>
    <s v="Current Employees"/>
    <x v="1"/>
    <x v="2"/>
    <s v="STAFF-705"/>
    <n v="705"/>
    <x v="1"/>
    <x v="1"/>
    <x v="1"/>
    <s v="No"/>
    <s v="Y"/>
    <n v="3"/>
    <n v="-2"/>
    <n v="0"/>
    <n v="23"/>
    <n v="0"/>
    <m/>
    <n v="0"/>
    <n v="1"/>
    <n v="885"/>
    <n v="4"/>
    <x v="3"/>
    <n v="1"/>
    <n v="1"/>
    <n v="58"/>
    <n v="4"/>
    <n v="1"/>
    <n v="3"/>
    <n v="2819"/>
    <n v="8544"/>
    <n v="2"/>
    <n v="16"/>
    <n v="3"/>
    <n v="1"/>
    <n v="80"/>
    <n v="1"/>
    <n v="5"/>
    <n v="4"/>
    <n v="3"/>
    <n v="2"/>
    <n v="0"/>
    <n v="2"/>
  </r>
  <r>
    <x v="1"/>
    <s v="Travel_Rarely"/>
    <x v="2"/>
    <s v="Current Employees"/>
    <x v="0"/>
    <x v="0"/>
    <s v="STAFF-707"/>
    <n v="707"/>
    <x v="1"/>
    <x v="0"/>
    <x v="1"/>
    <s v="No"/>
    <s v="Y"/>
    <n v="4"/>
    <n v="-2"/>
    <n v="0"/>
    <n v="25"/>
    <n v="0"/>
    <m/>
    <n v="0"/>
    <n v="1"/>
    <n v="810"/>
    <n v="8"/>
    <x v="3"/>
    <n v="1"/>
    <n v="4"/>
    <n v="57"/>
    <n v="4"/>
    <n v="2"/>
    <n v="2"/>
    <n v="4851"/>
    <n v="15678"/>
    <n v="0"/>
    <n v="22"/>
    <n v="4"/>
    <n v="3"/>
    <n v="80"/>
    <n v="1"/>
    <n v="4"/>
    <n v="3"/>
    <n v="3"/>
    <n v="2"/>
    <n v="1"/>
    <n v="2"/>
  </r>
  <r>
    <x v="1"/>
    <s v="Travel_Rarely"/>
    <x v="0"/>
    <s v="Current Employees"/>
    <x v="0"/>
    <x v="3"/>
    <s v="STAFF-709"/>
    <n v="709"/>
    <x v="0"/>
    <x v="0"/>
    <x v="0"/>
    <s v="No"/>
    <s v="Y"/>
    <n v="2"/>
    <n v="-2"/>
    <n v="0"/>
    <n v="38"/>
    <n v="0"/>
    <m/>
    <n v="0"/>
    <n v="1"/>
    <n v="243"/>
    <n v="7"/>
    <x v="2"/>
    <n v="1"/>
    <n v="4"/>
    <n v="46"/>
    <n v="2"/>
    <n v="2"/>
    <n v="1"/>
    <n v="4028"/>
    <n v="7791"/>
    <n v="0"/>
    <n v="20"/>
    <n v="4"/>
    <n v="1"/>
    <n v="80"/>
    <n v="0"/>
    <n v="8"/>
    <n v="3"/>
    <n v="7"/>
    <n v="7"/>
    <n v="0"/>
    <n v="5"/>
  </r>
  <r>
    <x v="1"/>
    <s v="Travel_Frequently"/>
    <x v="2"/>
    <s v="Current Employees"/>
    <x v="1"/>
    <x v="0"/>
    <s v="STAFF-710"/>
    <n v="710"/>
    <x v="1"/>
    <x v="1"/>
    <x v="2"/>
    <s v="No"/>
    <s v="Y"/>
    <n v="5"/>
    <n v="-2"/>
    <n v="0"/>
    <n v="29"/>
    <n v="0"/>
    <m/>
    <n v="0"/>
    <n v="1"/>
    <n v="806"/>
    <n v="1"/>
    <x v="2"/>
    <n v="1"/>
    <n v="2"/>
    <n v="76"/>
    <n v="1"/>
    <n v="1"/>
    <n v="4"/>
    <n v="2720"/>
    <n v="18959"/>
    <n v="1"/>
    <n v="18"/>
    <n v="3"/>
    <n v="4"/>
    <n v="80"/>
    <n v="1"/>
    <n v="10"/>
    <n v="3"/>
    <n v="10"/>
    <n v="7"/>
    <n v="2"/>
    <n v="8"/>
  </r>
  <r>
    <x v="1"/>
    <s v="Travel_Rarely"/>
    <x v="1"/>
    <s v="Current Employees"/>
    <x v="0"/>
    <x v="3"/>
    <s v="STAFF-712"/>
    <n v="712"/>
    <x v="1"/>
    <x v="0"/>
    <x v="1"/>
    <s v="No"/>
    <s v="Y"/>
    <n v="3"/>
    <n v="-2"/>
    <n v="0"/>
    <n v="48"/>
    <n v="0"/>
    <m/>
    <n v="0"/>
    <n v="1"/>
    <n v="817"/>
    <n v="2"/>
    <x v="1"/>
    <n v="1"/>
    <n v="2"/>
    <n v="56"/>
    <n v="4"/>
    <n v="2"/>
    <n v="1"/>
    <n v="8120"/>
    <n v="18597"/>
    <n v="3"/>
    <n v="12"/>
    <n v="3"/>
    <n v="4"/>
    <n v="80"/>
    <n v="0"/>
    <n v="12"/>
    <n v="3"/>
    <n v="2"/>
    <n v="2"/>
    <n v="2"/>
    <n v="2"/>
  </r>
  <r>
    <x v="1"/>
    <s v="Travel_Frequently"/>
    <x v="2"/>
    <s v="Current Employees"/>
    <x v="0"/>
    <x v="2"/>
    <s v="STAFF-714"/>
    <n v="714"/>
    <x v="0"/>
    <x v="0"/>
    <x v="2"/>
    <s v="Yes"/>
    <s v="Y"/>
    <n v="3"/>
    <n v="-2"/>
    <n v="0"/>
    <n v="27"/>
    <n v="0"/>
    <m/>
    <n v="0"/>
    <n v="1"/>
    <n v="1410"/>
    <n v="3"/>
    <x v="1"/>
    <n v="1"/>
    <n v="4"/>
    <n v="71"/>
    <n v="4"/>
    <n v="2"/>
    <n v="4"/>
    <n v="4647"/>
    <n v="16673"/>
    <n v="1"/>
    <n v="20"/>
    <n v="4"/>
    <n v="2"/>
    <n v="80"/>
    <n v="2"/>
    <n v="6"/>
    <n v="3"/>
    <n v="6"/>
    <n v="5"/>
    <n v="0"/>
    <n v="4"/>
  </r>
  <r>
    <x v="1"/>
    <s v="Travel_Rarely"/>
    <x v="0"/>
    <s v="Current Employees"/>
    <x v="1"/>
    <x v="0"/>
    <s v="STAFF-715"/>
    <n v="715"/>
    <x v="1"/>
    <x v="1"/>
    <x v="0"/>
    <s v="No"/>
    <s v="Y"/>
    <n v="2"/>
    <n v="-2"/>
    <n v="0"/>
    <n v="37"/>
    <n v="0"/>
    <m/>
    <n v="0"/>
    <n v="1"/>
    <n v="1225"/>
    <n v="10"/>
    <x v="0"/>
    <n v="1"/>
    <n v="4"/>
    <n v="80"/>
    <n v="4"/>
    <n v="1"/>
    <n v="4"/>
    <n v="4680"/>
    <n v="15232"/>
    <n v="3"/>
    <n v="17"/>
    <n v="3"/>
    <n v="1"/>
    <n v="80"/>
    <n v="0"/>
    <n v="4"/>
    <n v="3"/>
    <n v="1"/>
    <n v="0"/>
    <n v="0"/>
    <n v="0"/>
  </r>
  <r>
    <x v="1"/>
    <s v="Travel_Rarely"/>
    <x v="1"/>
    <s v="Current Employees"/>
    <x v="1"/>
    <x v="2"/>
    <s v="STAFF-716"/>
    <n v="716"/>
    <x v="1"/>
    <x v="2"/>
    <x v="1"/>
    <s v="Yes"/>
    <s v="Y"/>
    <n v="3"/>
    <n v="-2"/>
    <n v="0"/>
    <n v="50"/>
    <n v="0"/>
    <m/>
    <n v="0"/>
    <n v="1"/>
    <n v="1207"/>
    <n v="28"/>
    <x v="1"/>
    <n v="1"/>
    <n v="4"/>
    <n v="74"/>
    <n v="4"/>
    <n v="1"/>
    <n v="3"/>
    <n v="3221"/>
    <n v="3297"/>
    <n v="1"/>
    <n v="11"/>
    <n v="3"/>
    <n v="3"/>
    <n v="80"/>
    <n v="3"/>
    <n v="20"/>
    <n v="3"/>
    <n v="20"/>
    <n v="8"/>
    <n v="3"/>
    <n v="8"/>
  </r>
  <r>
    <x v="1"/>
    <s v="Travel_Rarely"/>
    <x v="2"/>
    <s v="Current Employees"/>
    <x v="1"/>
    <x v="2"/>
    <s v="STAFF-717"/>
    <n v="717"/>
    <x v="0"/>
    <x v="4"/>
    <x v="0"/>
    <s v="No"/>
    <s v="Y"/>
    <n v="3"/>
    <n v="-2"/>
    <n v="0"/>
    <n v="34"/>
    <n v="0"/>
    <m/>
    <n v="0"/>
    <n v="1"/>
    <n v="1442"/>
    <n v="9"/>
    <x v="3"/>
    <n v="1"/>
    <n v="4"/>
    <n v="46"/>
    <n v="2"/>
    <n v="3"/>
    <n v="3"/>
    <n v="8621"/>
    <n v="17654"/>
    <n v="1"/>
    <n v="14"/>
    <n v="3"/>
    <n v="2"/>
    <n v="80"/>
    <n v="0"/>
    <n v="9"/>
    <n v="4"/>
    <n v="8"/>
    <n v="7"/>
    <n v="7"/>
    <n v="7"/>
  </r>
  <r>
    <x v="0"/>
    <s v="Travel_Rarely"/>
    <x v="4"/>
    <s v="Ex-Employees"/>
    <x v="0"/>
    <x v="0"/>
    <s v="STAFF-720"/>
    <n v="720"/>
    <x v="0"/>
    <x v="0"/>
    <x v="0"/>
    <s v="No"/>
    <s v="Y"/>
    <n v="3"/>
    <n v="-2"/>
    <n v="0"/>
    <n v="24"/>
    <n v="1"/>
    <n v="1"/>
    <n v="1"/>
    <n v="0"/>
    <n v="693"/>
    <n v="3"/>
    <x v="0"/>
    <n v="1"/>
    <n v="1"/>
    <n v="65"/>
    <n v="3"/>
    <n v="2"/>
    <n v="3"/>
    <n v="4577"/>
    <n v="24785"/>
    <n v="9"/>
    <n v="14"/>
    <n v="3"/>
    <n v="1"/>
    <n v="80"/>
    <n v="0"/>
    <n v="4"/>
    <n v="3"/>
    <n v="2"/>
    <n v="2"/>
    <n v="2"/>
    <n v="0"/>
  </r>
  <r>
    <x v="1"/>
    <s v="Travel_Rarely"/>
    <x v="0"/>
    <s v="Current Employees"/>
    <x v="1"/>
    <x v="4"/>
    <s v="STAFF-721"/>
    <n v="721"/>
    <x v="0"/>
    <x v="4"/>
    <x v="0"/>
    <s v="No"/>
    <s v="Y"/>
    <n v="4"/>
    <n v="-2"/>
    <n v="0"/>
    <n v="39"/>
    <n v="0"/>
    <m/>
    <n v="0"/>
    <n v="1"/>
    <n v="408"/>
    <n v="2"/>
    <x v="2"/>
    <n v="1"/>
    <n v="4"/>
    <n v="80"/>
    <n v="2"/>
    <n v="2"/>
    <n v="4"/>
    <n v="4553"/>
    <n v="20978"/>
    <n v="1"/>
    <n v="11"/>
    <n v="3"/>
    <n v="1"/>
    <n v="80"/>
    <n v="0"/>
    <n v="20"/>
    <n v="3"/>
    <n v="20"/>
    <n v="7"/>
    <n v="11"/>
    <n v="10"/>
  </r>
  <r>
    <x v="1"/>
    <s v="Travel_Rarely"/>
    <x v="2"/>
    <s v="Current Employees"/>
    <x v="0"/>
    <x v="3"/>
    <s v="STAFF-722"/>
    <n v="722"/>
    <x v="1"/>
    <x v="0"/>
    <x v="0"/>
    <s v="No"/>
    <s v="Y"/>
    <n v="2"/>
    <n v="-2"/>
    <n v="0"/>
    <n v="32"/>
    <n v="0"/>
    <m/>
    <n v="0"/>
    <n v="1"/>
    <n v="929"/>
    <n v="10"/>
    <x v="3"/>
    <n v="1"/>
    <n v="4"/>
    <n v="55"/>
    <n v="3"/>
    <n v="2"/>
    <n v="1"/>
    <n v="5396"/>
    <n v="21703"/>
    <n v="1"/>
    <n v="12"/>
    <n v="3"/>
    <n v="4"/>
    <n v="80"/>
    <n v="0"/>
    <n v="10"/>
    <n v="2"/>
    <n v="10"/>
    <n v="7"/>
    <n v="0"/>
    <n v="8"/>
  </r>
  <r>
    <x v="0"/>
    <s v="Travel_Frequently"/>
    <x v="1"/>
    <s v="Ex-Employees"/>
    <x v="0"/>
    <x v="4"/>
    <s v="STAFF-723"/>
    <n v="723"/>
    <x v="1"/>
    <x v="0"/>
    <x v="1"/>
    <s v="Yes"/>
    <s v="Y"/>
    <n v="4"/>
    <n v="-2"/>
    <n v="0"/>
    <n v="50"/>
    <n v="1"/>
    <n v="1"/>
    <n v="1"/>
    <n v="0"/>
    <n v="562"/>
    <n v="8"/>
    <x v="0"/>
    <n v="1"/>
    <n v="4"/>
    <n v="50"/>
    <n v="3"/>
    <n v="2"/>
    <n v="4"/>
    <n v="6796"/>
    <n v="23452"/>
    <n v="3"/>
    <n v="14"/>
    <n v="3"/>
    <n v="1"/>
    <n v="80"/>
    <n v="1"/>
    <n v="18"/>
    <n v="3"/>
    <n v="4"/>
    <n v="3"/>
    <n v="1"/>
    <n v="3"/>
  </r>
  <r>
    <x v="1"/>
    <s v="Travel_Rarely"/>
    <x v="0"/>
    <s v="Current Employees"/>
    <x v="1"/>
    <x v="0"/>
    <s v="STAFF-724"/>
    <n v="724"/>
    <x v="0"/>
    <x v="4"/>
    <x v="0"/>
    <s v="No"/>
    <s v="Y"/>
    <n v="4"/>
    <n v="-2"/>
    <n v="0"/>
    <n v="38"/>
    <n v="0"/>
    <m/>
    <n v="0"/>
    <n v="1"/>
    <n v="827"/>
    <n v="1"/>
    <x v="2"/>
    <n v="1"/>
    <n v="2"/>
    <n v="33"/>
    <n v="4"/>
    <n v="2"/>
    <n v="4"/>
    <n v="7625"/>
    <n v="19383"/>
    <n v="0"/>
    <n v="13"/>
    <n v="3"/>
    <n v="3"/>
    <n v="80"/>
    <n v="0"/>
    <n v="10"/>
    <n v="2"/>
    <n v="9"/>
    <n v="7"/>
    <n v="1"/>
    <n v="8"/>
  </r>
  <r>
    <x v="1"/>
    <s v="Travel_Rarely"/>
    <x v="2"/>
    <s v="Current Employees"/>
    <x v="1"/>
    <x v="0"/>
    <s v="STAFF-725"/>
    <n v="725"/>
    <x v="0"/>
    <x v="3"/>
    <x v="1"/>
    <s v="No"/>
    <s v="Y"/>
    <n v="3"/>
    <n v="-2"/>
    <n v="0"/>
    <n v="27"/>
    <n v="0"/>
    <m/>
    <n v="0"/>
    <n v="1"/>
    <n v="608"/>
    <n v="1"/>
    <x v="0"/>
    <n v="1"/>
    <n v="3"/>
    <n v="68"/>
    <n v="3"/>
    <n v="3"/>
    <n v="3"/>
    <n v="7412"/>
    <n v="6009"/>
    <n v="1"/>
    <n v="11"/>
    <n v="3"/>
    <n v="4"/>
    <n v="80"/>
    <n v="0"/>
    <n v="9"/>
    <n v="3"/>
    <n v="9"/>
    <n v="7"/>
    <n v="0"/>
    <n v="7"/>
  </r>
  <r>
    <x v="1"/>
    <s v="Travel_Rarely"/>
    <x v="2"/>
    <s v="Current Employees"/>
    <x v="1"/>
    <x v="0"/>
    <s v="STAFF-727"/>
    <n v="727"/>
    <x v="0"/>
    <x v="7"/>
    <x v="0"/>
    <s v="No"/>
    <s v="Y"/>
    <n v="6"/>
    <n v="-2"/>
    <n v="0"/>
    <n v="32"/>
    <n v="0"/>
    <m/>
    <n v="0"/>
    <n v="1"/>
    <n v="1018"/>
    <n v="3"/>
    <x v="0"/>
    <n v="1"/>
    <n v="3"/>
    <n v="39"/>
    <n v="3"/>
    <n v="3"/>
    <n v="4"/>
    <n v="11159"/>
    <n v="19373"/>
    <n v="3"/>
    <n v="15"/>
    <n v="3"/>
    <n v="4"/>
    <n v="80"/>
    <n v="0"/>
    <n v="10"/>
    <n v="3"/>
    <n v="7"/>
    <n v="7"/>
    <n v="7"/>
    <n v="7"/>
  </r>
  <r>
    <x v="1"/>
    <s v="Travel_Rarely"/>
    <x v="1"/>
    <s v="Current Employees"/>
    <x v="0"/>
    <x v="3"/>
    <s v="STAFF-728"/>
    <n v="728"/>
    <x v="1"/>
    <x v="0"/>
    <x v="0"/>
    <s v="No"/>
    <s v="Y"/>
    <n v="2"/>
    <n v="-2"/>
    <n v="0"/>
    <n v="47"/>
    <n v="0"/>
    <m/>
    <n v="0"/>
    <n v="1"/>
    <n v="703"/>
    <n v="14"/>
    <x v="2"/>
    <n v="1"/>
    <n v="4"/>
    <n v="42"/>
    <n v="3"/>
    <n v="2"/>
    <n v="1"/>
    <n v="4960"/>
    <n v="11825"/>
    <n v="2"/>
    <n v="12"/>
    <n v="3"/>
    <n v="4"/>
    <n v="80"/>
    <n v="0"/>
    <n v="20"/>
    <n v="3"/>
    <n v="7"/>
    <n v="7"/>
    <n v="1"/>
    <n v="7"/>
  </r>
  <r>
    <x v="1"/>
    <s v="Travel_Frequently"/>
    <x v="0"/>
    <s v="Current Employees"/>
    <x v="0"/>
    <x v="0"/>
    <s v="STAFF-729"/>
    <n v="729"/>
    <x v="1"/>
    <x v="0"/>
    <x v="1"/>
    <s v="Yes"/>
    <s v="Y"/>
    <n v="2"/>
    <n v="-2"/>
    <n v="0"/>
    <n v="40"/>
    <n v="0"/>
    <m/>
    <n v="0"/>
    <n v="1"/>
    <n v="580"/>
    <n v="5"/>
    <x v="2"/>
    <n v="1"/>
    <n v="4"/>
    <n v="48"/>
    <n v="2"/>
    <n v="3"/>
    <n v="3"/>
    <n v="10475"/>
    <n v="23772"/>
    <n v="5"/>
    <n v="21"/>
    <n v="4"/>
    <n v="3"/>
    <n v="80"/>
    <n v="1"/>
    <n v="20"/>
    <n v="3"/>
    <n v="18"/>
    <n v="13"/>
    <n v="1"/>
    <n v="12"/>
  </r>
  <r>
    <x v="1"/>
    <s v="Travel_Rarely"/>
    <x v="1"/>
    <s v="Current Employees"/>
    <x v="1"/>
    <x v="0"/>
    <s v="STAFF-730"/>
    <n v="730"/>
    <x v="1"/>
    <x v="7"/>
    <x v="1"/>
    <s v="No"/>
    <s v="Y"/>
    <n v="3"/>
    <n v="-2"/>
    <n v="0"/>
    <n v="53"/>
    <n v="0"/>
    <m/>
    <n v="0"/>
    <n v="1"/>
    <n v="970"/>
    <n v="7"/>
    <x v="3"/>
    <n v="1"/>
    <n v="3"/>
    <n v="59"/>
    <n v="4"/>
    <n v="4"/>
    <n v="3"/>
    <n v="14814"/>
    <n v="13514"/>
    <n v="3"/>
    <n v="19"/>
    <n v="3"/>
    <n v="3"/>
    <n v="80"/>
    <n v="0"/>
    <n v="32"/>
    <n v="3"/>
    <n v="5"/>
    <n v="1"/>
    <n v="1"/>
    <n v="3"/>
  </r>
  <r>
    <x v="1"/>
    <s v="Travel_Rarely"/>
    <x v="0"/>
    <s v="Current Employees"/>
    <x v="2"/>
    <x v="5"/>
    <s v="STAFF-731"/>
    <n v="731"/>
    <x v="1"/>
    <x v="5"/>
    <x v="2"/>
    <s v="No"/>
    <s v="Y"/>
    <n v="2"/>
    <n v="-2"/>
    <n v="0"/>
    <n v="41"/>
    <n v="0"/>
    <m/>
    <n v="0"/>
    <n v="1"/>
    <n v="427"/>
    <n v="10"/>
    <x v="2"/>
    <n v="1"/>
    <n v="2"/>
    <n v="73"/>
    <n v="2"/>
    <n v="5"/>
    <n v="4"/>
    <n v="19141"/>
    <n v="8861"/>
    <n v="3"/>
    <n v="15"/>
    <n v="3"/>
    <n v="2"/>
    <n v="80"/>
    <n v="3"/>
    <n v="23"/>
    <n v="2"/>
    <n v="21"/>
    <n v="6"/>
    <n v="12"/>
    <n v="6"/>
  </r>
  <r>
    <x v="1"/>
    <s v="Travel_Rarely"/>
    <x v="3"/>
    <s v="Current Employees"/>
    <x v="0"/>
    <x v="3"/>
    <s v="STAFF-732"/>
    <n v="732"/>
    <x v="1"/>
    <x v="0"/>
    <x v="0"/>
    <s v="No"/>
    <s v="Y"/>
    <n v="1"/>
    <n v="-2"/>
    <n v="0"/>
    <n v="60"/>
    <n v="0"/>
    <m/>
    <n v="0"/>
    <n v="1"/>
    <n v="1179"/>
    <n v="16"/>
    <x v="2"/>
    <n v="1"/>
    <n v="1"/>
    <n v="84"/>
    <n v="3"/>
    <n v="2"/>
    <n v="1"/>
    <n v="5405"/>
    <n v="11924"/>
    <n v="8"/>
    <n v="14"/>
    <n v="3"/>
    <n v="4"/>
    <n v="80"/>
    <n v="0"/>
    <n v="10"/>
    <n v="3"/>
    <n v="2"/>
    <n v="2"/>
    <n v="2"/>
    <n v="2"/>
  </r>
  <r>
    <x v="1"/>
    <s v="Travel_Frequently"/>
    <x v="2"/>
    <s v="Current Employees"/>
    <x v="1"/>
    <x v="0"/>
    <s v="STAFF-733"/>
    <n v="733"/>
    <x v="1"/>
    <x v="3"/>
    <x v="2"/>
    <s v="No"/>
    <s v="Y"/>
    <n v="4"/>
    <n v="-2"/>
    <n v="0"/>
    <n v="27"/>
    <n v="0"/>
    <m/>
    <n v="0"/>
    <n v="1"/>
    <n v="294"/>
    <n v="10"/>
    <x v="0"/>
    <n v="1"/>
    <n v="4"/>
    <n v="32"/>
    <n v="3"/>
    <n v="3"/>
    <n v="3"/>
    <n v="8793"/>
    <n v="4809"/>
    <n v="1"/>
    <n v="21"/>
    <n v="4"/>
    <n v="3"/>
    <n v="80"/>
    <n v="2"/>
    <n v="9"/>
    <n v="2"/>
    <n v="9"/>
    <n v="7"/>
    <n v="1"/>
    <n v="7"/>
  </r>
  <r>
    <x v="1"/>
    <s v="Travel_Rarely"/>
    <x v="0"/>
    <s v="Current Employees"/>
    <x v="2"/>
    <x v="5"/>
    <s v="STAFF-734"/>
    <n v="734"/>
    <x v="1"/>
    <x v="5"/>
    <x v="1"/>
    <s v="No"/>
    <s v="Y"/>
    <n v="3"/>
    <n v="-2"/>
    <n v="0"/>
    <n v="41"/>
    <n v="0"/>
    <m/>
    <n v="0"/>
    <n v="1"/>
    <n v="314"/>
    <n v="1"/>
    <x v="3"/>
    <n v="1"/>
    <n v="4"/>
    <n v="59"/>
    <n v="2"/>
    <n v="5"/>
    <n v="3"/>
    <n v="19189"/>
    <n v="19562"/>
    <n v="1"/>
    <n v="12"/>
    <n v="3"/>
    <n v="2"/>
    <n v="80"/>
    <n v="1"/>
    <n v="22"/>
    <n v="3"/>
    <n v="22"/>
    <n v="7"/>
    <n v="2"/>
    <n v="10"/>
  </r>
  <r>
    <x v="1"/>
    <s v="Travel_Rarely"/>
    <x v="1"/>
    <s v="Current Employees"/>
    <x v="0"/>
    <x v="3"/>
    <s v="STAFF-738"/>
    <n v="738"/>
    <x v="1"/>
    <x v="6"/>
    <x v="1"/>
    <s v="No"/>
    <s v="Y"/>
    <n v="2"/>
    <n v="-2"/>
    <n v="0"/>
    <n v="50"/>
    <n v="0"/>
    <m/>
    <n v="0"/>
    <n v="1"/>
    <n v="316"/>
    <n v="8"/>
    <x v="2"/>
    <n v="1"/>
    <n v="4"/>
    <n v="54"/>
    <n v="3"/>
    <n v="1"/>
    <n v="1"/>
    <n v="3875"/>
    <n v="9983"/>
    <n v="7"/>
    <n v="15"/>
    <n v="3"/>
    <n v="4"/>
    <n v="80"/>
    <n v="1"/>
    <n v="4"/>
    <n v="3"/>
    <n v="2"/>
    <n v="2"/>
    <n v="2"/>
    <n v="2"/>
  </r>
  <r>
    <x v="0"/>
    <s v="Travel_Rarely"/>
    <x v="2"/>
    <s v="Ex-Employees"/>
    <x v="1"/>
    <x v="0"/>
    <s v="STAFF-741"/>
    <n v="741"/>
    <x v="0"/>
    <x v="1"/>
    <x v="0"/>
    <s v="Yes"/>
    <s v="Y"/>
    <n v="4"/>
    <n v="-2"/>
    <n v="0"/>
    <n v="28"/>
    <n v="1"/>
    <n v="1"/>
    <n v="1"/>
    <n v="0"/>
    <n v="654"/>
    <n v="1"/>
    <x v="0"/>
    <n v="1"/>
    <n v="1"/>
    <n v="67"/>
    <n v="1"/>
    <n v="1"/>
    <n v="3"/>
    <n v="2216"/>
    <n v="3872"/>
    <n v="7"/>
    <n v="13"/>
    <n v="3"/>
    <n v="4"/>
    <n v="80"/>
    <n v="0"/>
    <n v="10"/>
    <n v="3"/>
    <n v="7"/>
    <n v="7"/>
    <n v="3"/>
    <n v="7"/>
  </r>
  <r>
    <x v="1"/>
    <s v="Non-Travel"/>
    <x v="0"/>
    <s v="Current Employees"/>
    <x v="1"/>
    <x v="0"/>
    <s v="STAFF-742"/>
    <n v="742"/>
    <x v="0"/>
    <x v="7"/>
    <x v="1"/>
    <s v="No"/>
    <s v="Y"/>
    <n v="2"/>
    <n v="-2"/>
    <n v="0"/>
    <n v="36"/>
    <n v="0"/>
    <m/>
    <n v="0"/>
    <n v="1"/>
    <n v="427"/>
    <n v="8"/>
    <x v="3"/>
    <n v="1"/>
    <n v="1"/>
    <n v="63"/>
    <n v="4"/>
    <n v="3"/>
    <n v="3"/>
    <n v="11713"/>
    <n v="20335"/>
    <n v="9"/>
    <n v="14"/>
    <n v="3"/>
    <n v="1"/>
    <n v="80"/>
    <n v="1"/>
    <n v="10"/>
    <n v="3"/>
    <n v="8"/>
    <n v="7"/>
    <n v="0"/>
    <n v="5"/>
  </r>
  <r>
    <x v="1"/>
    <s v="Travel_Rarely"/>
    <x v="0"/>
    <s v="Current Employees"/>
    <x v="1"/>
    <x v="0"/>
    <s v="STAFF-743"/>
    <n v="743"/>
    <x v="0"/>
    <x v="3"/>
    <x v="0"/>
    <s v="Yes"/>
    <s v="Y"/>
    <n v="4"/>
    <n v="-2"/>
    <n v="0"/>
    <n v="38"/>
    <n v="0"/>
    <m/>
    <n v="0"/>
    <n v="1"/>
    <n v="168"/>
    <n v="1"/>
    <x v="3"/>
    <n v="1"/>
    <n v="3"/>
    <n v="81"/>
    <n v="3"/>
    <n v="3"/>
    <n v="3"/>
    <n v="7861"/>
    <n v="15397"/>
    <n v="4"/>
    <n v="14"/>
    <n v="3"/>
    <n v="4"/>
    <n v="80"/>
    <n v="0"/>
    <n v="10"/>
    <n v="4"/>
    <n v="1"/>
    <n v="0"/>
    <n v="0"/>
    <n v="0"/>
  </r>
  <r>
    <x v="1"/>
    <s v="Non-Travel"/>
    <x v="0"/>
    <s v="Current Employees"/>
    <x v="1"/>
    <x v="2"/>
    <s v="STAFF-744"/>
    <n v="744"/>
    <x v="1"/>
    <x v="2"/>
    <x v="0"/>
    <s v="No"/>
    <s v="Y"/>
    <n v="5"/>
    <n v="-2"/>
    <n v="0"/>
    <n v="44"/>
    <n v="0"/>
    <m/>
    <n v="0"/>
    <n v="1"/>
    <n v="381"/>
    <n v="24"/>
    <x v="3"/>
    <n v="1"/>
    <n v="1"/>
    <n v="49"/>
    <n v="1"/>
    <n v="1"/>
    <n v="3"/>
    <n v="3708"/>
    <n v="2104"/>
    <n v="2"/>
    <n v="14"/>
    <n v="3"/>
    <n v="3"/>
    <n v="80"/>
    <n v="0"/>
    <n v="9"/>
    <n v="3"/>
    <n v="5"/>
    <n v="2"/>
    <n v="1"/>
    <n v="4"/>
  </r>
  <r>
    <x v="1"/>
    <s v="Travel_Frequently"/>
    <x v="1"/>
    <s v="Current Employees"/>
    <x v="0"/>
    <x v="2"/>
    <s v="STAFF-746"/>
    <n v="746"/>
    <x v="0"/>
    <x v="0"/>
    <x v="2"/>
    <s v="Yes"/>
    <s v="Y"/>
    <n v="2"/>
    <n v="-2"/>
    <n v="0"/>
    <n v="47"/>
    <n v="0"/>
    <m/>
    <n v="0"/>
    <n v="1"/>
    <n v="217"/>
    <n v="3"/>
    <x v="3"/>
    <n v="1"/>
    <n v="4"/>
    <n v="49"/>
    <n v="3"/>
    <n v="4"/>
    <n v="3"/>
    <n v="13770"/>
    <n v="10225"/>
    <n v="9"/>
    <n v="12"/>
    <n v="3"/>
    <n v="4"/>
    <n v="80"/>
    <n v="2"/>
    <n v="28"/>
    <n v="2"/>
    <n v="22"/>
    <n v="2"/>
    <n v="11"/>
    <n v="13"/>
  </r>
  <r>
    <x v="1"/>
    <s v="Travel_Rarely"/>
    <x v="2"/>
    <s v="Current Employees"/>
    <x v="0"/>
    <x v="3"/>
    <s v="STAFF-747"/>
    <n v="747"/>
    <x v="1"/>
    <x v="0"/>
    <x v="2"/>
    <s v="No"/>
    <s v="Y"/>
    <n v="2"/>
    <n v="-2"/>
    <n v="0"/>
    <n v="30"/>
    <n v="0"/>
    <m/>
    <n v="0"/>
    <n v="1"/>
    <n v="501"/>
    <n v="27"/>
    <x v="4"/>
    <n v="1"/>
    <n v="3"/>
    <n v="99"/>
    <n v="3"/>
    <n v="2"/>
    <n v="1"/>
    <n v="5304"/>
    <n v="25275"/>
    <n v="7"/>
    <n v="23"/>
    <n v="4"/>
    <n v="4"/>
    <n v="80"/>
    <n v="1"/>
    <n v="10"/>
    <n v="2"/>
    <n v="8"/>
    <n v="7"/>
    <n v="7"/>
    <n v="7"/>
  </r>
  <r>
    <x v="1"/>
    <s v="Travel_Rarely"/>
    <x v="2"/>
    <s v="Current Employees"/>
    <x v="0"/>
    <x v="0"/>
    <s v="STAFF-749"/>
    <n v="749"/>
    <x v="1"/>
    <x v="6"/>
    <x v="0"/>
    <s v="No"/>
    <s v="Y"/>
    <n v="6"/>
    <n v="-2"/>
    <n v="0"/>
    <n v="29"/>
    <n v="0"/>
    <m/>
    <n v="0"/>
    <n v="1"/>
    <n v="1396"/>
    <n v="10"/>
    <x v="3"/>
    <n v="1"/>
    <n v="3"/>
    <n v="99"/>
    <n v="3"/>
    <n v="1"/>
    <n v="3"/>
    <n v="2642"/>
    <n v="2755"/>
    <n v="1"/>
    <n v="11"/>
    <n v="3"/>
    <n v="3"/>
    <n v="80"/>
    <n v="0"/>
    <n v="1"/>
    <n v="3"/>
    <n v="1"/>
    <n v="0"/>
    <n v="0"/>
    <n v="0"/>
  </r>
  <r>
    <x v="0"/>
    <s v="Travel_Frequently"/>
    <x v="0"/>
    <s v="Ex-Employees"/>
    <x v="1"/>
    <x v="2"/>
    <s v="STAFF-752"/>
    <n v="752"/>
    <x v="1"/>
    <x v="1"/>
    <x v="2"/>
    <s v="Yes"/>
    <s v="Y"/>
    <n v="2"/>
    <n v="-2"/>
    <n v="0"/>
    <n v="42"/>
    <n v="1"/>
    <n v="1"/>
    <n v="1"/>
    <n v="0"/>
    <n v="933"/>
    <n v="19"/>
    <x v="3"/>
    <n v="1"/>
    <n v="3"/>
    <n v="57"/>
    <n v="4"/>
    <n v="1"/>
    <n v="3"/>
    <n v="2759"/>
    <n v="20366"/>
    <n v="6"/>
    <n v="12"/>
    <n v="3"/>
    <n v="4"/>
    <n v="80"/>
    <n v="0"/>
    <n v="7"/>
    <n v="3"/>
    <n v="2"/>
    <n v="2"/>
    <n v="2"/>
    <n v="2"/>
  </r>
  <r>
    <x v="1"/>
    <s v="Travel_Frequently"/>
    <x v="0"/>
    <s v="Current Employees"/>
    <x v="0"/>
    <x v="0"/>
    <s v="STAFF-754"/>
    <n v="754"/>
    <x v="1"/>
    <x v="0"/>
    <x v="1"/>
    <s v="No"/>
    <s v="Y"/>
    <n v="5"/>
    <n v="-2"/>
    <n v="0"/>
    <n v="43"/>
    <n v="0"/>
    <m/>
    <n v="0"/>
    <n v="1"/>
    <n v="775"/>
    <n v="15"/>
    <x v="3"/>
    <n v="1"/>
    <n v="4"/>
    <n v="47"/>
    <n v="2"/>
    <n v="2"/>
    <n v="4"/>
    <n v="6804"/>
    <n v="23683"/>
    <n v="3"/>
    <n v="18"/>
    <n v="3"/>
    <n v="3"/>
    <n v="80"/>
    <n v="1"/>
    <n v="7"/>
    <n v="3"/>
    <n v="2"/>
    <n v="2"/>
    <n v="2"/>
    <n v="2"/>
  </r>
  <r>
    <x v="1"/>
    <s v="Travel_Rarely"/>
    <x v="2"/>
    <s v="Current Employees"/>
    <x v="1"/>
    <x v="2"/>
    <s v="STAFF-757"/>
    <n v="757"/>
    <x v="0"/>
    <x v="4"/>
    <x v="0"/>
    <s v="No"/>
    <s v="Y"/>
    <n v="2"/>
    <n v="-2"/>
    <n v="0"/>
    <n v="34"/>
    <n v="0"/>
    <m/>
    <n v="0"/>
    <n v="1"/>
    <n v="970"/>
    <n v="8"/>
    <x v="0"/>
    <n v="1"/>
    <n v="2"/>
    <n v="96"/>
    <n v="3"/>
    <n v="2"/>
    <n v="3"/>
    <n v="6142"/>
    <n v="7360"/>
    <n v="3"/>
    <n v="11"/>
    <n v="3"/>
    <n v="4"/>
    <n v="80"/>
    <n v="0"/>
    <n v="10"/>
    <n v="3"/>
    <n v="5"/>
    <n v="1"/>
    <n v="4"/>
    <n v="3"/>
  </r>
  <r>
    <x v="1"/>
    <s v="Travel_Rarely"/>
    <x v="4"/>
    <s v="Current Employees"/>
    <x v="1"/>
    <x v="2"/>
    <s v="STAFF-758"/>
    <n v="758"/>
    <x v="1"/>
    <x v="2"/>
    <x v="1"/>
    <s v="No"/>
    <s v="Y"/>
    <n v="2"/>
    <n v="-2"/>
    <n v="0"/>
    <n v="23"/>
    <n v="0"/>
    <m/>
    <n v="0"/>
    <n v="1"/>
    <n v="650"/>
    <n v="9"/>
    <x v="1"/>
    <n v="1"/>
    <n v="2"/>
    <n v="37"/>
    <n v="3"/>
    <n v="1"/>
    <n v="3"/>
    <n v="2500"/>
    <n v="4344"/>
    <n v="1"/>
    <n v="14"/>
    <n v="3"/>
    <n v="4"/>
    <n v="80"/>
    <n v="1"/>
    <n v="5"/>
    <n v="4"/>
    <n v="4"/>
    <n v="3"/>
    <n v="0"/>
    <n v="2"/>
  </r>
  <r>
    <x v="1"/>
    <s v="Travel_Rarely"/>
    <x v="0"/>
    <s v="Current Employees"/>
    <x v="2"/>
    <x v="5"/>
    <s v="STAFF-760"/>
    <n v="760"/>
    <x v="0"/>
    <x v="8"/>
    <x v="1"/>
    <s v="No"/>
    <s v="Y"/>
    <n v="3"/>
    <n v="-2"/>
    <n v="0"/>
    <n v="39"/>
    <n v="0"/>
    <m/>
    <n v="0"/>
    <n v="1"/>
    <n v="141"/>
    <n v="3"/>
    <x v="3"/>
    <n v="1"/>
    <n v="3"/>
    <n v="44"/>
    <n v="4"/>
    <n v="2"/>
    <n v="3"/>
    <n v="6389"/>
    <n v="18767"/>
    <n v="9"/>
    <n v="15"/>
    <n v="3"/>
    <n v="3"/>
    <n v="80"/>
    <n v="1"/>
    <n v="12"/>
    <n v="1"/>
    <n v="8"/>
    <n v="3"/>
    <n v="3"/>
    <n v="6"/>
  </r>
  <r>
    <x v="1"/>
    <s v="Travel_Rarely"/>
    <x v="3"/>
    <s v="Current Employees"/>
    <x v="1"/>
    <x v="2"/>
    <s v="STAFF-762"/>
    <n v="762"/>
    <x v="1"/>
    <x v="4"/>
    <x v="1"/>
    <s v="No"/>
    <s v="Y"/>
    <n v="1"/>
    <n v="-2"/>
    <n v="0"/>
    <n v="56"/>
    <n v="0"/>
    <m/>
    <n v="0"/>
    <n v="1"/>
    <n v="832"/>
    <n v="9"/>
    <x v="3"/>
    <n v="1"/>
    <n v="3"/>
    <n v="81"/>
    <n v="3"/>
    <n v="4"/>
    <n v="4"/>
    <n v="11103"/>
    <n v="20420"/>
    <n v="7"/>
    <n v="11"/>
    <n v="3"/>
    <n v="3"/>
    <n v="80"/>
    <n v="0"/>
    <n v="30"/>
    <n v="2"/>
    <n v="10"/>
    <n v="7"/>
    <n v="1"/>
    <n v="1"/>
  </r>
  <r>
    <x v="1"/>
    <s v="Travel_Rarely"/>
    <x v="0"/>
    <s v="Current Employees"/>
    <x v="1"/>
    <x v="2"/>
    <s v="STAFF-763"/>
    <n v="763"/>
    <x v="0"/>
    <x v="1"/>
    <x v="0"/>
    <s v="Yes"/>
    <s v="Y"/>
    <n v="2"/>
    <n v="-2"/>
    <n v="0"/>
    <n v="40"/>
    <n v="0"/>
    <m/>
    <n v="0"/>
    <n v="1"/>
    <n v="804"/>
    <n v="2"/>
    <x v="1"/>
    <n v="1"/>
    <n v="4"/>
    <n v="86"/>
    <n v="2"/>
    <n v="1"/>
    <n v="4"/>
    <n v="2342"/>
    <n v="22929"/>
    <n v="0"/>
    <n v="20"/>
    <n v="4"/>
    <n v="4"/>
    <n v="80"/>
    <n v="0"/>
    <n v="5"/>
    <n v="2"/>
    <n v="4"/>
    <n v="2"/>
    <n v="2"/>
    <n v="3"/>
  </r>
  <r>
    <x v="1"/>
    <s v="Travel_Rarely"/>
    <x v="2"/>
    <s v="Current Employees"/>
    <x v="1"/>
    <x v="2"/>
    <s v="STAFF-764"/>
    <n v="764"/>
    <x v="0"/>
    <x v="4"/>
    <x v="0"/>
    <s v="No"/>
    <s v="Y"/>
    <n v="2"/>
    <n v="-2"/>
    <n v="0"/>
    <n v="27"/>
    <n v="0"/>
    <m/>
    <n v="0"/>
    <n v="1"/>
    <n v="975"/>
    <n v="7"/>
    <x v="3"/>
    <n v="1"/>
    <n v="4"/>
    <n v="55"/>
    <n v="2"/>
    <n v="2"/>
    <n v="3"/>
    <n v="6811"/>
    <n v="23398"/>
    <n v="8"/>
    <n v="19"/>
    <n v="3"/>
    <n v="1"/>
    <n v="80"/>
    <n v="0"/>
    <n v="9"/>
    <n v="1"/>
    <n v="7"/>
    <n v="6"/>
    <n v="0"/>
    <n v="7"/>
  </r>
  <r>
    <x v="1"/>
    <s v="Travel_Rarely"/>
    <x v="2"/>
    <s v="Current Employees"/>
    <x v="0"/>
    <x v="3"/>
    <s v="STAFF-766"/>
    <n v="766"/>
    <x v="1"/>
    <x v="6"/>
    <x v="2"/>
    <s v="No"/>
    <s v="Y"/>
    <n v="2"/>
    <n v="-2"/>
    <n v="0"/>
    <n v="29"/>
    <n v="0"/>
    <m/>
    <n v="0"/>
    <n v="1"/>
    <n v="1090"/>
    <n v="10"/>
    <x v="3"/>
    <n v="1"/>
    <n v="4"/>
    <n v="83"/>
    <n v="3"/>
    <n v="1"/>
    <n v="2"/>
    <n v="2297"/>
    <n v="17967"/>
    <n v="1"/>
    <n v="14"/>
    <n v="3"/>
    <n v="4"/>
    <n v="80"/>
    <n v="2"/>
    <n v="2"/>
    <n v="3"/>
    <n v="2"/>
    <n v="2"/>
    <n v="2"/>
    <n v="2"/>
  </r>
  <r>
    <x v="1"/>
    <s v="Travel_Rarely"/>
    <x v="1"/>
    <s v="Current Employees"/>
    <x v="1"/>
    <x v="0"/>
    <s v="STAFF-769"/>
    <n v="769"/>
    <x v="1"/>
    <x v="2"/>
    <x v="0"/>
    <s v="No"/>
    <s v="Y"/>
    <n v="4"/>
    <n v="-2"/>
    <n v="0"/>
    <n v="53"/>
    <n v="0"/>
    <m/>
    <n v="0"/>
    <n v="1"/>
    <n v="346"/>
    <n v="6"/>
    <x v="3"/>
    <n v="1"/>
    <n v="4"/>
    <n v="86"/>
    <n v="3"/>
    <n v="2"/>
    <n v="4"/>
    <n v="2450"/>
    <n v="10919"/>
    <n v="2"/>
    <n v="17"/>
    <n v="3"/>
    <n v="4"/>
    <n v="80"/>
    <n v="0"/>
    <n v="19"/>
    <n v="3"/>
    <n v="2"/>
    <n v="2"/>
    <n v="2"/>
    <n v="2"/>
  </r>
  <r>
    <x v="1"/>
    <s v="Non-Travel"/>
    <x v="0"/>
    <s v="Current Employees"/>
    <x v="1"/>
    <x v="0"/>
    <s v="STAFF-771"/>
    <n v="771"/>
    <x v="0"/>
    <x v="4"/>
    <x v="2"/>
    <s v="No"/>
    <s v="Y"/>
    <n v="2"/>
    <n v="-2"/>
    <n v="0"/>
    <n v="35"/>
    <n v="0"/>
    <m/>
    <n v="0"/>
    <n v="1"/>
    <n v="1225"/>
    <n v="2"/>
    <x v="2"/>
    <n v="1"/>
    <n v="4"/>
    <n v="61"/>
    <n v="3"/>
    <n v="2"/>
    <n v="1"/>
    <n v="5093"/>
    <n v="4761"/>
    <n v="2"/>
    <n v="11"/>
    <n v="3"/>
    <n v="1"/>
    <n v="80"/>
    <n v="1"/>
    <n v="16"/>
    <n v="4"/>
    <n v="1"/>
    <n v="0"/>
    <n v="0"/>
    <n v="0"/>
  </r>
  <r>
    <x v="1"/>
    <s v="Travel_Frequently"/>
    <x v="2"/>
    <s v="Current Employees"/>
    <x v="1"/>
    <x v="0"/>
    <s v="STAFF-772"/>
    <n v="772"/>
    <x v="1"/>
    <x v="2"/>
    <x v="1"/>
    <s v="No"/>
    <s v="Y"/>
    <n v="2"/>
    <n v="-2"/>
    <n v="0"/>
    <n v="32"/>
    <n v="0"/>
    <m/>
    <n v="0"/>
    <n v="1"/>
    <n v="430"/>
    <n v="24"/>
    <x v="2"/>
    <n v="1"/>
    <n v="1"/>
    <n v="80"/>
    <n v="3"/>
    <n v="2"/>
    <n v="1"/>
    <n v="5309"/>
    <n v="21146"/>
    <n v="1"/>
    <n v="15"/>
    <n v="3"/>
    <n v="4"/>
    <n v="80"/>
    <n v="2"/>
    <n v="10"/>
    <n v="3"/>
    <n v="10"/>
    <n v="8"/>
    <n v="4"/>
    <n v="7"/>
  </r>
  <r>
    <x v="1"/>
    <s v="Travel_Rarely"/>
    <x v="0"/>
    <s v="Current Employees"/>
    <x v="1"/>
    <x v="2"/>
    <s v="STAFF-773"/>
    <n v="773"/>
    <x v="1"/>
    <x v="1"/>
    <x v="1"/>
    <s v="Yes"/>
    <s v="Y"/>
    <n v="0"/>
    <n v="-2"/>
    <n v="0"/>
    <n v="38"/>
    <n v="0"/>
    <m/>
    <n v="0"/>
    <n v="1"/>
    <n v="268"/>
    <n v="2"/>
    <x v="4"/>
    <n v="1"/>
    <n v="4"/>
    <n v="92"/>
    <n v="3"/>
    <n v="1"/>
    <n v="3"/>
    <n v="3057"/>
    <n v="20471"/>
    <n v="6"/>
    <n v="13"/>
    <n v="3"/>
    <n v="2"/>
    <n v="80"/>
    <n v="1"/>
    <n v="6"/>
    <n v="1"/>
    <n v="1"/>
    <n v="0"/>
    <n v="0"/>
    <n v="1"/>
  </r>
  <r>
    <x v="1"/>
    <s v="Travel_Rarely"/>
    <x v="2"/>
    <s v="Current Employees"/>
    <x v="1"/>
    <x v="0"/>
    <s v="STAFF-775"/>
    <n v="775"/>
    <x v="0"/>
    <x v="3"/>
    <x v="2"/>
    <s v="No"/>
    <s v="Y"/>
    <n v="3"/>
    <n v="-2"/>
    <n v="0"/>
    <n v="34"/>
    <n v="0"/>
    <m/>
    <n v="0"/>
    <n v="1"/>
    <n v="167"/>
    <n v="8"/>
    <x v="4"/>
    <n v="1"/>
    <n v="2"/>
    <n v="32"/>
    <n v="3"/>
    <n v="2"/>
    <n v="1"/>
    <n v="5121"/>
    <n v="4187"/>
    <n v="3"/>
    <n v="14"/>
    <n v="3"/>
    <n v="3"/>
    <n v="80"/>
    <n v="1"/>
    <n v="7"/>
    <n v="3"/>
    <n v="0"/>
    <n v="0"/>
    <n v="0"/>
    <n v="0"/>
  </r>
  <r>
    <x v="1"/>
    <s v="Travel_Rarely"/>
    <x v="1"/>
    <s v="Current Employees"/>
    <x v="0"/>
    <x v="3"/>
    <s v="STAFF-776"/>
    <n v="776"/>
    <x v="1"/>
    <x v="5"/>
    <x v="1"/>
    <s v="No"/>
    <s v="Y"/>
    <n v="3"/>
    <n v="-2"/>
    <n v="0"/>
    <n v="52"/>
    <n v="0"/>
    <m/>
    <n v="0"/>
    <n v="1"/>
    <n v="621"/>
    <n v="3"/>
    <x v="2"/>
    <n v="1"/>
    <n v="3"/>
    <n v="31"/>
    <n v="2"/>
    <n v="4"/>
    <n v="2"/>
    <n v="16856"/>
    <n v="10084"/>
    <n v="1"/>
    <n v="11"/>
    <n v="3"/>
    <n v="1"/>
    <n v="80"/>
    <n v="0"/>
    <n v="34"/>
    <n v="4"/>
    <n v="34"/>
    <n v="6"/>
    <n v="1"/>
    <n v="16"/>
  </r>
  <r>
    <x v="0"/>
    <s v="Travel_Rarely"/>
    <x v="2"/>
    <s v="Ex-Employees"/>
    <x v="1"/>
    <x v="1"/>
    <s v="STAFF-780"/>
    <n v="780"/>
    <x v="1"/>
    <x v="1"/>
    <x v="0"/>
    <s v="Yes"/>
    <s v="Y"/>
    <n v="2"/>
    <n v="-2"/>
    <n v="0"/>
    <n v="33"/>
    <n v="1"/>
    <n v="1"/>
    <n v="1"/>
    <n v="0"/>
    <n v="527"/>
    <n v="1"/>
    <x v="2"/>
    <n v="1"/>
    <n v="4"/>
    <n v="63"/>
    <n v="3"/>
    <n v="1"/>
    <n v="4"/>
    <n v="2686"/>
    <n v="5207"/>
    <n v="1"/>
    <n v="13"/>
    <n v="3"/>
    <n v="3"/>
    <n v="80"/>
    <n v="0"/>
    <n v="10"/>
    <n v="2"/>
    <n v="10"/>
    <n v="9"/>
    <n v="7"/>
    <n v="8"/>
  </r>
  <r>
    <x v="1"/>
    <s v="Travel_Rarely"/>
    <x v="2"/>
    <s v="Current Employees"/>
    <x v="0"/>
    <x v="2"/>
    <s v="STAFF-781"/>
    <n v="781"/>
    <x v="0"/>
    <x v="0"/>
    <x v="0"/>
    <s v="No"/>
    <s v="Y"/>
    <n v="5"/>
    <n v="-2"/>
    <n v="0"/>
    <n v="25"/>
    <n v="0"/>
    <m/>
    <n v="0"/>
    <n v="1"/>
    <n v="883"/>
    <n v="26"/>
    <x v="1"/>
    <n v="1"/>
    <n v="3"/>
    <n v="32"/>
    <n v="3"/>
    <n v="2"/>
    <n v="4"/>
    <n v="6180"/>
    <n v="22807"/>
    <n v="1"/>
    <n v="23"/>
    <n v="4"/>
    <n v="2"/>
    <n v="80"/>
    <n v="0"/>
    <n v="6"/>
    <n v="2"/>
    <n v="6"/>
    <n v="5"/>
    <n v="1"/>
    <n v="4"/>
  </r>
  <r>
    <x v="1"/>
    <s v="Travel_Rarely"/>
    <x v="1"/>
    <s v="Current Employees"/>
    <x v="0"/>
    <x v="4"/>
    <s v="STAFF-783"/>
    <n v="783"/>
    <x v="1"/>
    <x v="6"/>
    <x v="0"/>
    <s v="No"/>
    <s v="Y"/>
    <n v="3"/>
    <n v="-2"/>
    <n v="0"/>
    <n v="45"/>
    <n v="0"/>
    <m/>
    <n v="0"/>
    <n v="1"/>
    <n v="954"/>
    <n v="2"/>
    <x v="0"/>
    <n v="1"/>
    <n v="4"/>
    <n v="46"/>
    <n v="1"/>
    <n v="2"/>
    <n v="4"/>
    <n v="6632"/>
    <n v="12388"/>
    <n v="0"/>
    <n v="13"/>
    <n v="3"/>
    <n v="1"/>
    <n v="80"/>
    <n v="0"/>
    <n v="9"/>
    <n v="3"/>
    <n v="8"/>
    <n v="7"/>
    <n v="3"/>
    <n v="1"/>
  </r>
  <r>
    <x v="1"/>
    <s v="Travel_Rarely"/>
    <x v="4"/>
    <s v="Current Employees"/>
    <x v="1"/>
    <x v="2"/>
    <s v="STAFF-784"/>
    <n v="784"/>
    <x v="1"/>
    <x v="1"/>
    <x v="0"/>
    <s v="No"/>
    <s v="Y"/>
    <n v="3"/>
    <n v="-2"/>
    <n v="0"/>
    <n v="23"/>
    <n v="0"/>
    <m/>
    <n v="0"/>
    <n v="1"/>
    <n v="310"/>
    <n v="10"/>
    <x v="1"/>
    <n v="1"/>
    <n v="1"/>
    <n v="79"/>
    <n v="4"/>
    <n v="1"/>
    <n v="3"/>
    <n v="3505"/>
    <n v="19630"/>
    <n v="1"/>
    <n v="18"/>
    <n v="3"/>
    <n v="4"/>
    <n v="80"/>
    <n v="0"/>
    <n v="2"/>
    <n v="3"/>
    <n v="2"/>
    <n v="2"/>
    <n v="0"/>
    <n v="2"/>
  </r>
  <r>
    <x v="0"/>
    <s v="Travel_Frequently"/>
    <x v="1"/>
    <s v="Ex-Employees"/>
    <x v="0"/>
    <x v="0"/>
    <s v="STAFF-785"/>
    <n v="785"/>
    <x v="0"/>
    <x v="0"/>
    <x v="0"/>
    <s v="Yes"/>
    <s v="Y"/>
    <n v="2"/>
    <n v="-2"/>
    <n v="0"/>
    <n v="47"/>
    <n v="1"/>
    <n v="1"/>
    <n v="1"/>
    <n v="0"/>
    <n v="719"/>
    <n v="27"/>
    <x v="0"/>
    <n v="1"/>
    <n v="2"/>
    <n v="77"/>
    <n v="4"/>
    <n v="2"/>
    <n v="1"/>
    <n v="6397"/>
    <n v="10339"/>
    <n v="4"/>
    <n v="12"/>
    <n v="3"/>
    <n v="4"/>
    <n v="80"/>
    <n v="0"/>
    <n v="8"/>
    <n v="3"/>
    <n v="5"/>
    <n v="4"/>
    <n v="1"/>
    <n v="3"/>
  </r>
  <r>
    <x v="1"/>
    <s v="Travel_Rarely"/>
    <x v="2"/>
    <s v="Current Employees"/>
    <x v="0"/>
    <x v="1"/>
    <s v="STAFF-786"/>
    <n v="786"/>
    <x v="1"/>
    <x v="0"/>
    <x v="0"/>
    <s v="No"/>
    <s v="Y"/>
    <n v="5"/>
    <n v="-2"/>
    <n v="0"/>
    <n v="34"/>
    <n v="0"/>
    <m/>
    <n v="0"/>
    <n v="1"/>
    <n v="304"/>
    <n v="2"/>
    <x v="3"/>
    <n v="1"/>
    <n v="4"/>
    <n v="60"/>
    <n v="3"/>
    <n v="2"/>
    <n v="4"/>
    <n v="6274"/>
    <n v="18686"/>
    <n v="1"/>
    <n v="22"/>
    <n v="4"/>
    <n v="3"/>
    <n v="80"/>
    <n v="0"/>
    <n v="6"/>
    <n v="3"/>
    <n v="6"/>
    <n v="5"/>
    <n v="1"/>
    <n v="4"/>
  </r>
  <r>
    <x v="0"/>
    <s v="Travel_Rarely"/>
    <x v="3"/>
    <s v="Ex-Employees"/>
    <x v="1"/>
    <x v="2"/>
    <s v="STAFF-787"/>
    <n v="787"/>
    <x v="1"/>
    <x v="5"/>
    <x v="1"/>
    <s v="Yes"/>
    <s v="Y"/>
    <n v="2"/>
    <n v="-2"/>
    <n v="0"/>
    <n v="55"/>
    <n v="1"/>
    <n v="1"/>
    <n v="1"/>
    <n v="0"/>
    <n v="725"/>
    <n v="2"/>
    <x v="3"/>
    <n v="1"/>
    <n v="4"/>
    <n v="78"/>
    <n v="3"/>
    <n v="5"/>
    <n v="3"/>
    <n v="19859"/>
    <n v="21199"/>
    <n v="5"/>
    <n v="13"/>
    <n v="3"/>
    <n v="4"/>
    <n v="80"/>
    <n v="1"/>
    <n v="24"/>
    <n v="3"/>
    <n v="5"/>
    <n v="2"/>
    <n v="1"/>
    <n v="4"/>
  </r>
  <r>
    <x v="1"/>
    <s v="Non-Travel"/>
    <x v="0"/>
    <s v="Current Employees"/>
    <x v="0"/>
    <x v="0"/>
    <s v="STAFF-789"/>
    <n v="789"/>
    <x v="1"/>
    <x v="0"/>
    <x v="0"/>
    <s v="No"/>
    <s v="Y"/>
    <n v="1"/>
    <n v="-2"/>
    <n v="0"/>
    <n v="36"/>
    <n v="0"/>
    <m/>
    <n v="0"/>
    <n v="1"/>
    <n v="1434"/>
    <n v="8"/>
    <x v="2"/>
    <n v="1"/>
    <n v="1"/>
    <n v="76"/>
    <n v="2"/>
    <n v="3"/>
    <n v="1"/>
    <n v="7587"/>
    <n v="14229"/>
    <n v="1"/>
    <n v="15"/>
    <n v="3"/>
    <n v="2"/>
    <n v="80"/>
    <n v="0"/>
    <n v="10"/>
    <n v="3"/>
    <n v="10"/>
    <n v="7"/>
    <n v="0"/>
    <n v="9"/>
  </r>
  <r>
    <x v="1"/>
    <s v="Non-Travel"/>
    <x v="1"/>
    <s v="Current Employees"/>
    <x v="1"/>
    <x v="2"/>
    <s v="STAFF-791"/>
    <n v="791"/>
    <x v="1"/>
    <x v="1"/>
    <x v="1"/>
    <s v="No"/>
    <s v="Y"/>
    <n v="3"/>
    <n v="-2"/>
    <n v="0"/>
    <n v="52"/>
    <n v="0"/>
    <m/>
    <n v="0"/>
    <n v="1"/>
    <n v="715"/>
    <n v="19"/>
    <x v="2"/>
    <n v="1"/>
    <n v="4"/>
    <n v="41"/>
    <n v="3"/>
    <n v="1"/>
    <n v="4"/>
    <n v="4258"/>
    <n v="26589"/>
    <n v="0"/>
    <n v="18"/>
    <n v="3"/>
    <n v="1"/>
    <n v="80"/>
    <n v="1"/>
    <n v="5"/>
    <n v="3"/>
    <n v="4"/>
    <n v="3"/>
    <n v="1"/>
    <n v="2"/>
  </r>
  <r>
    <x v="1"/>
    <s v="Travel_Frequently"/>
    <x v="2"/>
    <s v="Current Employees"/>
    <x v="1"/>
    <x v="0"/>
    <s v="STAFF-792"/>
    <n v="792"/>
    <x v="0"/>
    <x v="2"/>
    <x v="2"/>
    <s v="No"/>
    <s v="Y"/>
    <n v="2"/>
    <n v="-2"/>
    <n v="0"/>
    <n v="26"/>
    <n v="0"/>
    <m/>
    <n v="0"/>
    <n v="1"/>
    <n v="575"/>
    <n v="1"/>
    <x v="0"/>
    <n v="1"/>
    <n v="1"/>
    <n v="71"/>
    <n v="1"/>
    <n v="1"/>
    <n v="1"/>
    <n v="4364"/>
    <n v="5288"/>
    <n v="3"/>
    <n v="14"/>
    <n v="3"/>
    <n v="1"/>
    <n v="80"/>
    <n v="1"/>
    <n v="5"/>
    <n v="3"/>
    <n v="2"/>
    <n v="2"/>
    <n v="2"/>
    <n v="0"/>
  </r>
  <r>
    <x v="1"/>
    <s v="Travel_Rarely"/>
    <x v="2"/>
    <s v="Current Employees"/>
    <x v="1"/>
    <x v="2"/>
    <s v="STAFF-793"/>
    <n v="793"/>
    <x v="0"/>
    <x v="4"/>
    <x v="1"/>
    <s v="No"/>
    <s v="Y"/>
    <n v="3"/>
    <n v="-2"/>
    <n v="0"/>
    <n v="29"/>
    <n v="0"/>
    <m/>
    <n v="0"/>
    <n v="1"/>
    <n v="657"/>
    <n v="27"/>
    <x v="3"/>
    <n v="1"/>
    <n v="2"/>
    <n v="66"/>
    <n v="3"/>
    <n v="2"/>
    <n v="3"/>
    <n v="4335"/>
    <n v="25549"/>
    <n v="4"/>
    <n v="12"/>
    <n v="3"/>
    <n v="1"/>
    <n v="80"/>
    <n v="1"/>
    <n v="11"/>
    <n v="2"/>
    <n v="8"/>
    <n v="7"/>
    <n v="1"/>
    <n v="1"/>
  </r>
  <r>
    <x v="0"/>
    <s v="Travel_Rarely"/>
    <x v="2"/>
    <s v="Ex-Employees"/>
    <x v="0"/>
    <x v="4"/>
    <s v="STAFF-796"/>
    <n v="796"/>
    <x v="1"/>
    <x v="0"/>
    <x v="0"/>
    <s v="No"/>
    <s v="Y"/>
    <n v="2"/>
    <n v="-2"/>
    <n v="0"/>
    <n v="26"/>
    <n v="1"/>
    <n v="1"/>
    <n v="1"/>
    <n v="0"/>
    <n v="1146"/>
    <n v="8"/>
    <x v="3"/>
    <n v="1"/>
    <n v="4"/>
    <n v="38"/>
    <n v="2"/>
    <n v="2"/>
    <n v="4"/>
    <n v="5326"/>
    <n v="3064"/>
    <n v="6"/>
    <n v="17"/>
    <n v="3"/>
    <n v="3"/>
    <n v="80"/>
    <n v="0"/>
    <n v="6"/>
    <n v="2"/>
    <n v="4"/>
    <n v="3"/>
    <n v="1"/>
    <n v="2"/>
  </r>
  <r>
    <x v="1"/>
    <s v="Travel_Rarely"/>
    <x v="2"/>
    <s v="Current Employees"/>
    <x v="1"/>
    <x v="0"/>
    <s v="STAFF-797"/>
    <n v="797"/>
    <x v="0"/>
    <x v="1"/>
    <x v="0"/>
    <s v="No"/>
    <s v="Y"/>
    <n v="2"/>
    <n v="-2"/>
    <n v="0"/>
    <n v="34"/>
    <n v="0"/>
    <m/>
    <n v="0"/>
    <n v="1"/>
    <n v="182"/>
    <n v="1"/>
    <x v="2"/>
    <n v="1"/>
    <n v="2"/>
    <n v="72"/>
    <n v="4"/>
    <n v="1"/>
    <n v="1"/>
    <n v="3280"/>
    <n v="13551"/>
    <n v="2"/>
    <n v="16"/>
    <n v="3"/>
    <n v="3"/>
    <n v="80"/>
    <n v="0"/>
    <n v="10"/>
    <n v="3"/>
    <n v="4"/>
    <n v="2"/>
    <n v="1"/>
    <n v="3"/>
  </r>
  <r>
    <x v="1"/>
    <s v="Travel_Rarely"/>
    <x v="1"/>
    <s v="Current Employees"/>
    <x v="1"/>
    <x v="2"/>
    <s v="STAFF-799"/>
    <n v="799"/>
    <x v="0"/>
    <x v="3"/>
    <x v="2"/>
    <s v="Yes"/>
    <s v="Y"/>
    <n v="4"/>
    <n v="-2"/>
    <n v="0"/>
    <n v="54"/>
    <n v="0"/>
    <m/>
    <n v="0"/>
    <n v="1"/>
    <n v="376"/>
    <n v="19"/>
    <x v="2"/>
    <n v="1"/>
    <n v="4"/>
    <n v="95"/>
    <n v="3"/>
    <n v="2"/>
    <n v="3"/>
    <n v="5485"/>
    <n v="22670"/>
    <n v="9"/>
    <n v="11"/>
    <n v="3"/>
    <n v="2"/>
    <n v="80"/>
    <n v="2"/>
    <n v="9"/>
    <n v="3"/>
    <n v="5"/>
    <n v="3"/>
    <n v="1"/>
    <n v="4"/>
  </r>
  <r>
    <x v="1"/>
    <s v="Travel_Frequently"/>
    <x v="2"/>
    <s v="Current Employees"/>
    <x v="0"/>
    <x v="3"/>
    <s v="STAFF-800"/>
    <n v="800"/>
    <x v="1"/>
    <x v="0"/>
    <x v="1"/>
    <s v="No"/>
    <s v="Y"/>
    <n v="3"/>
    <n v="-2"/>
    <n v="0"/>
    <n v="27"/>
    <n v="0"/>
    <m/>
    <n v="0"/>
    <n v="1"/>
    <n v="829"/>
    <n v="8"/>
    <x v="1"/>
    <n v="1"/>
    <n v="3"/>
    <n v="84"/>
    <n v="3"/>
    <n v="2"/>
    <n v="2"/>
    <n v="4342"/>
    <n v="24008"/>
    <n v="0"/>
    <n v="19"/>
    <n v="3"/>
    <n v="2"/>
    <n v="80"/>
    <n v="1"/>
    <n v="5"/>
    <n v="3"/>
    <n v="4"/>
    <n v="2"/>
    <n v="1"/>
    <n v="1"/>
  </r>
  <r>
    <x v="1"/>
    <s v="Travel_Rarely"/>
    <x v="0"/>
    <s v="Current Employees"/>
    <x v="1"/>
    <x v="0"/>
    <s v="STAFF-802"/>
    <n v="802"/>
    <x v="0"/>
    <x v="1"/>
    <x v="2"/>
    <s v="Yes"/>
    <s v="Y"/>
    <n v="3"/>
    <n v="-2"/>
    <n v="0"/>
    <n v="37"/>
    <n v="0"/>
    <m/>
    <n v="0"/>
    <n v="1"/>
    <n v="571"/>
    <n v="10"/>
    <x v="1"/>
    <n v="1"/>
    <n v="4"/>
    <n v="82"/>
    <n v="3"/>
    <n v="1"/>
    <n v="1"/>
    <n v="2782"/>
    <n v="19905"/>
    <n v="0"/>
    <n v="13"/>
    <n v="3"/>
    <n v="2"/>
    <n v="80"/>
    <n v="2"/>
    <n v="6"/>
    <n v="2"/>
    <n v="5"/>
    <n v="3"/>
    <n v="4"/>
    <n v="3"/>
  </r>
  <r>
    <x v="1"/>
    <s v="Travel_Frequently"/>
    <x v="0"/>
    <s v="Current Employees"/>
    <x v="1"/>
    <x v="0"/>
    <s v="STAFF-803"/>
    <n v="803"/>
    <x v="0"/>
    <x v="3"/>
    <x v="0"/>
    <s v="Yes"/>
    <s v="Y"/>
    <n v="2"/>
    <n v="-2"/>
    <n v="0"/>
    <n v="38"/>
    <n v="0"/>
    <m/>
    <n v="0"/>
    <n v="1"/>
    <n v="240"/>
    <n v="2"/>
    <x v="2"/>
    <n v="1"/>
    <n v="1"/>
    <n v="75"/>
    <n v="4"/>
    <n v="2"/>
    <n v="1"/>
    <n v="5980"/>
    <n v="26085"/>
    <n v="6"/>
    <n v="12"/>
    <n v="3"/>
    <n v="4"/>
    <n v="80"/>
    <n v="0"/>
    <n v="17"/>
    <n v="3"/>
    <n v="15"/>
    <n v="7"/>
    <n v="4"/>
    <n v="12"/>
  </r>
  <r>
    <x v="1"/>
    <s v="Travel_Rarely"/>
    <x v="2"/>
    <s v="Current Employees"/>
    <x v="1"/>
    <x v="2"/>
    <s v="STAFF-804"/>
    <n v="804"/>
    <x v="0"/>
    <x v="1"/>
    <x v="0"/>
    <s v="No"/>
    <s v="Y"/>
    <n v="3"/>
    <n v="-2"/>
    <n v="0"/>
    <n v="34"/>
    <n v="0"/>
    <m/>
    <n v="0"/>
    <n v="1"/>
    <n v="121"/>
    <n v="2"/>
    <x v="2"/>
    <n v="1"/>
    <n v="3"/>
    <n v="86"/>
    <n v="2"/>
    <n v="1"/>
    <n v="3"/>
    <n v="4381"/>
    <n v="7530"/>
    <n v="1"/>
    <n v="11"/>
    <n v="3"/>
    <n v="3"/>
    <n v="80"/>
    <n v="0"/>
    <n v="6"/>
    <n v="3"/>
    <n v="6"/>
    <n v="5"/>
    <n v="1"/>
    <n v="3"/>
  </r>
  <r>
    <x v="1"/>
    <s v="Travel_Rarely"/>
    <x v="0"/>
    <s v="Current Employees"/>
    <x v="0"/>
    <x v="0"/>
    <s v="STAFF-805"/>
    <n v="805"/>
    <x v="0"/>
    <x v="6"/>
    <x v="1"/>
    <s v="No"/>
    <s v="Y"/>
    <n v="1"/>
    <n v="-2"/>
    <n v="0"/>
    <n v="35"/>
    <n v="0"/>
    <m/>
    <n v="0"/>
    <n v="1"/>
    <n v="384"/>
    <n v="8"/>
    <x v="2"/>
    <n v="1"/>
    <n v="1"/>
    <n v="72"/>
    <n v="3"/>
    <n v="1"/>
    <n v="1"/>
    <n v="2572"/>
    <n v="20317"/>
    <n v="1"/>
    <n v="16"/>
    <n v="3"/>
    <n v="2"/>
    <n v="80"/>
    <n v="1"/>
    <n v="3"/>
    <n v="2"/>
    <n v="3"/>
    <n v="2"/>
    <n v="0"/>
    <n v="2"/>
  </r>
  <r>
    <x v="1"/>
    <s v="Travel_Rarely"/>
    <x v="2"/>
    <s v="Current Employees"/>
    <x v="1"/>
    <x v="0"/>
    <s v="STAFF-806"/>
    <n v="806"/>
    <x v="1"/>
    <x v="2"/>
    <x v="1"/>
    <s v="No"/>
    <s v="Y"/>
    <n v="2"/>
    <n v="-2"/>
    <n v="0"/>
    <n v="30"/>
    <n v="0"/>
    <m/>
    <n v="0"/>
    <n v="1"/>
    <n v="921"/>
    <n v="1"/>
    <x v="3"/>
    <n v="1"/>
    <n v="4"/>
    <n v="38"/>
    <n v="1"/>
    <n v="1"/>
    <n v="1"/>
    <n v="3833"/>
    <n v="24375"/>
    <n v="3"/>
    <n v="21"/>
    <n v="4"/>
    <n v="3"/>
    <n v="80"/>
    <n v="2"/>
    <n v="7"/>
    <n v="3"/>
    <n v="2"/>
    <n v="2"/>
    <n v="0"/>
    <n v="2"/>
  </r>
  <r>
    <x v="1"/>
    <s v="Travel_Frequently"/>
    <x v="0"/>
    <s v="Current Employees"/>
    <x v="1"/>
    <x v="2"/>
    <s v="STAFF-807"/>
    <n v="807"/>
    <x v="0"/>
    <x v="4"/>
    <x v="1"/>
    <s v="No"/>
    <s v="Y"/>
    <n v="2"/>
    <n v="-2"/>
    <n v="0"/>
    <n v="40"/>
    <n v="0"/>
    <m/>
    <n v="0"/>
    <n v="1"/>
    <n v="791"/>
    <n v="2"/>
    <x v="0"/>
    <n v="1"/>
    <n v="3"/>
    <n v="38"/>
    <n v="4"/>
    <n v="2"/>
    <n v="3"/>
    <n v="4244"/>
    <n v="9931"/>
    <n v="1"/>
    <n v="24"/>
    <n v="4"/>
    <n v="4"/>
    <n v="80"/>
    <n v="1"/>
    <n v="8"/>
    <n v="3"/>
    <n v="8"/>
    <n v="7"/>
    <n v="3"/>
    <n v="7"/>
  </r>
  <r>
    <x v="1"/>
    <s v="Travel_Rarely"/>
    <x v="2"/>
    <s v="Current Employees"/>
    <x v="0"/>
    <x v="0"/>
    <s v="STAFF-808"/>
    <n v="808"/>
    <x v="0"/>
    <x v="0"/>
    <x v="1"/>
    <s v="No"/>
    <s v="Y"/>
    <n v="1"/>
    <n v="-2"/>
    <n v="0"/>
    <n v="34"/>
    <n v="0"/>
    <m/>
    <n v="0"/>
    <n v="1"/>
    <n v="1111"/>
    <n v="8"/>
    <x v="0"/>
    <n v="1"/>
    <n v="3"/>
    <n v="93"/>
    <n v="3"/>
    <n v="2"/>
    <n v="1"/>
    <n v="6500"/>
    <n v="13305"/>
    <n v="5"/>
    <n v="17"/>
    <n v="3"/>
    <n v="2"/>
    <n v="80"/>
    <n v="1"/>
    <n v="6"/>
    <n v="3"/>
    <n v="3"/>
    <n v="2"/>
    <n v="1"/>
    <n v="2"/>
  </r>
  <r>
    <x v="1"/>
    <s v="Travel_Frequently"/>
    <x v="0"/>
    <s v="Current Employees"/>
    <x v="1"/>
    <x v="0"/>
    <s v="STAFF-809"/>
    <n v="809"/>
    <x v="1"/>
    <x v="5"/>
    <x v="2"/>
    <s v="No"/>
    <s v="Y"/>
    <n v="4"/>
    <n v="-2"/>
    <n v="0"/>
    <n v="42"/>
    <n v="0"/>
    <m/>
    <n v="0"/>
    <n v="1"/>
    <n v="570"/>
    <n v="8"/>
    <x v="3"/>
    <n v="1"/>
    <n v="2"/>
    <n v="66"/>
    <n v="3"/>
    <n v="5"/>
    <n v="1"/>
    <n v="18430"/>
    <n v="16225"/>
    <n v="1"/>
    <n v="13"/>
    <n v="3"/>
    <n v="2"/>
    <n v="80"/>
    <n v="1"/>
    <n v="24"/>
    <n v="2"/>
    <n v="24"/>
    <n v="7"/>
    <n v="14"/>
    <n v="9"/>
  </r>
  <r>
    <x v="0"/>
    <s v="Travel_Rarely"/>
    <x v="4"/>
    <s v="Ex-Employees"/>
    <x v="1"/>
    <x v="0"/>
    <s v="STAFF-811"/>
    <n v="811"/>
    <x v="1"/>
    <x v="2"/>
    <x v="1"/>
    <s v="Yes"/>
    <s v="Y"/>
    <n v="2"/>
    <n v="-2"/>
    <n v="0"/>
    <n v="23"/>
    <n v="1"/>
    <n v="1"/>
    <n v="1"/>
    <n v="0"/>
    <n v="1243"/>
    <n v="6"/>
    <x v="3"/>
    <n v="1"/>
    <n v="3"/>
    <n v="63"/>
    <n v="4"/>
    <n v="1"/>
    <n v="1"/>
    <n v="1601"/>
    <n v="3445"/>
    <n v="1"/>
    <n v="21"/>
    <n v="4"/>
    <n v="3"/>
    <n v="80"/>
    <n v="2"/>
    <n v="1"/>
    <n v="3"/>
    <n v="0"/>
    <n v="0"/>
    <n v="0"/>
    <n v="0"/>
  </r>
  <r>
    <x v="1"/>
    <s v="Non-Travel"/>
    <x v="4"/>
    <s v="Current Employees"/>
    <x v="1"/>
    <x v="0"/>
    <s v="STAFF-812"/>
    <n v="812"/>
    <x v="1"/>
    <x v="2"/>
    <x v="2"/>
    <s v="No"/>
    <s v="Y"/>
    <n v="4"/>
    <n v="-2"/>
    <n v="0"/>
    <n v="24"/>
    <n v="0"/>
    <m/>
    <n v="0"/>
    <n v="1"/>
    <n v="1092"/>
    <n v="9"/>
    <x v="3"/>
    <n v="1"/>
    <n v="3"/>
    <n v="60"/>
    <n v="2"/>
    <n v="1"/>
    <n v="1"/>
    <n v="2694"/>
    <n v="26551"/>
    <n v="1"/>
    <n v="11"/>
    <n v="3"/>
    <n v="3"/>
    <n v="80"/>
    <n v="3"/>
    <n v="1"/>
    <n v="3"/>
    <n v="1"/>
    <n v="0"/>
    <n v="0"/>
    <n v="0"/>
  </r>
  <r>
    <x v="1"/>
    <s v="Travel_Rarely"/>
    <x v="1"/>
    <s v="Current Employees"/>
    <x v="1"/>
    <x v="0"/>
    <s v="STAFF-813"/>
    <n v="813"/>
    <x v="0"/>
    <x v="2"/>
    <x v="1"/>
    <s v="No"/>
    <s v="Y"/>
    <n v="3"/>
    <n v="-2"/>
    <n v="0"/>
    <n v="52"/>
    <n v="0"/>
    <m/>
    <n v="0"/>
    <n v="1"/>
    <n v="1325"/>
    <n v="11"/>
    <x v="2"/>
    <n v="1"/>
    <n v="4"/>
    <n v="82"/>
    <n v="3"/>
    <n v="2"/>
    <n v="1"/>
    <n v="3149"/>
    <n v="21821"/>
    <n v="8"/>
    <n v="20"/>
    <n v="4"/>
    <n v="2"/>
    <n v="80"/>
    <n v="1"/>
    <n v="9"/>
    <n v="3"/>
    <n v="5"/>
    <n v="2"/>
    <n v="1"/>
    <n v="4"/>
  </r>
  <r>
    <x v="1"/>
    <s v="Travel_Rarely"/>
    <x v="1"/>
    <s v="Current Employees"/>
    <x v="1"/>
    <x v="2"/>
    <s v="STAFF-815"/>
    <n v="815"/>
    <x v="1"/>
    <x v="7"/>
    <x v="1"/>
    <s v="No"/>
    <s v="Y"/>
    <n v="3"/>
    <n v="-2"/>
    <n v="0"/>
    <n v="50"/>
    <n v="0"/>
    <m/>
    <n v="0"/>
    <n v="1"/>
    <n v="691"/>
    <n v="2"/>
    <x v="3"/>
    <n v="1"/>
    <n v="3"/>
    <n v="64"/>
    <n v="3"/>
    <n v="4"/>
    <n v="3"/>
    <n v="17639"/>
    <n v="6881"/>
    <n v="5"/>
    <n v="16"/>
    <n v="3"/>
    <n v="4"/>
    <n v="80"/>
    <n v="0"/>
    <n v="30"/>
    <n v="3"/>
    <n v="4"/>
    <n v="3"/>
    <n v="0"/>
    <n v="3"/>
  </r>
  <r>
    <x v="0"/>
    <s v="Travel_Rarely"/>
    <x v="2"/>
    <s v="Ex-Employees"/>
    <x v="1"/>
    <x v="0"/>
    <s v="STAFF-816"/>
    <n v="816"/>
    <x v="0"/>
    <x v="2"/>
    <x v="1"/>
    <s v="Yes"/>
    <s v="Y"/>
    <n v="1"/>
    <n v="-2"/>
    <n v="0"/>
    <n v="29"/>
    <n v="1"/>
    <n v="1"/>
    <n v="1"/>
    <n v="0"/>
    <n v="805"/>
    <n v="1"/>
    <x v="0"/>
    <n v="1"/>
    <n v="2"/>
    <n v="36"/>
    <n v="2"/>
    <n v="1"/>
    <n v="1"/>
    <n v="2319"/>
    <n v="6689"/>
    <n v="1"/>
    <n v="11"/>
    <n v="3"/>
    <n v="4"/>
    <n v="80"/>
    <n v="1"/>
    <n v="1"/>
    <n v="3"/>
    <n v="1"/>
    <n v="0"/>
    <n v="0"/>
    <n v="0"/>
  </r>
  <r>
    <x v="1"/>
    <s v="Travel_Rarely"/>
    <x v="2"/>
    <s v="Current Employees"/>
    <x v="1"/>
    <x v="2"/>
    <s v="STAFF-817"/>
    <n v="817"/>
    <x v="1"/>
    <x v="7"/>
    <x v="1"/>
    <s v="No"/>
    <s v="Y"/>
    <n v="3"/>
    <n v="-2"/>
    <n v="0"/>
    <n v="33"/>
    <n v="0"/>
    <m/>
    <n v="0"/>
    <n v="1"/>
    <n v="213"/>
    <n v="7"/>
    <x v="3"/>
    <n v="1"/>
    <n v="3"/>
    <n v="49"/>
    <n v="3"/>
    <n v="3"/>
    <n v="3"/>
    <n v="11691"/>
    <n v="25995"/>
    <n v="0"/>
    <n v="11"/>
    <n v="3"/>
    <n v="4"/>
    <n v="80"/>
    <n v="0"/>
    <n v="14"/>
    <n v="4"/>
    <n v="13"/>
    <n v="9"/>
    <n v="3"/>
    <n v="7"/>
  </r>
  <r>
    <x v="0"/>
    <s v="Travel_Rarely"/>
    <x v="2"/>
    <s v="Ex-Employees"/>
    <x v="0"/>
    <x v="3"/>
    <s v="STAFF-819"/>
    <n v="819"/>
    <x v="0"/>
    <x v="0"/>
    <x v="0"/>
    <s v="No"/>
    <s v="Y"/>
    <n v="3"/>
    <n v="-2"/>
    <n v="0"/>
    <n v="33"/>
    <n v="1"/>
    <n v="1"/>
    <n v="1"/>
    <n v="0"/>
    <n v="118"/>
    <n v="16"/>
    <x v="3"/>
    <n v="1"/>
    <n v="1"/>
    <n v="69"/>
    <n v="3"/>
    <n v="2"/>
    <n v="2"/>
    <n v="5324"/>
    <n v="26507"/>
    <n v="5"/>
    <n v="15"/>
    <n v="3"/>
    <n v="3"/>
    <n v="80"/>
    <n v="0"/>
    <n v="6"/>
    <n v="3"/>
    <n v="3"/>
    <n v="2"/>
    <n v="0"/>
    <n v="2"/>
  </r>
  <r>
    <x v="1"/>
    <s v="Travel_Rarely"/>
    <x v="1"/>
    <s v="Current Employees"/>
    <x v="1"/>
    <x v="1"/>
    <s v="STAFF-820"/>
    <n v="820"/>
    <x v="0"/>
    <x v="5"/>
    <x v="1"/>
    <s v="Yes"/>
    <s v="Y"/>
    <n v="3"/>
    <n v="-2"/>
    <n v="0"/>
    <n v="47"/>
    <n v="0"/>
    <m/>
    <n v="0"/>
    <n v="1"/>
    <n v="202"/>
    <n v="2"/>
    <x v="0"/>
    <n v="1"/>
    <n v="3"/>
    <n v="33"/>
    <n v="3"/>
    <n v="4"/>
    <n v="4"/>
    <n v="16752"/>
    <n v="12982"/>
    <n v="1"/>
    <n v="11"/>
    <n v="3"/>
    <n v="3"/>
    <n v="80"/>
    <n v="1"/>
    <n v="26"/>
    <n v="2"/>
    <n v="26"/>
    <n v="14"/>
    <n v="3"/>
    <n v="0"/>
  </r>
  <r>
    <x v="1"/>
    <s v="Travel_Rarely"/>
    <x v="0"/>
    <s v="Current Employees"/>
    <x v="1"/>
    <x v="1"/>
    <s v="STAFF-823"/>
    <n v="823"/>
    <x v="0"/>
    <x v="3"/>
    <x v="1"/>
    <s v="No"/>
    <s v="Y"/>
    <n v="2"/>
    <n v="-2"/>
    <n v="0"/>
    <n v="36"/>
    <n v="0"/>
    <m/>
    <n v="0"/>
    <n v="1"/>
    <n v="676"/>
    <n v="1"/>
    <x v="3"/>
    <n v="1"/>
    <n v="3"/>
    <n v="35"/>
    <n v="3"/>
    <n v="2"/>
    <n v="3"/>
    <n v="5228"/>
    <n v="23361"/>
    <n v="0"/>
    <n v="15"/>
    <n v="3"/>
    <n v="1"/>
    <n v="80"/>
    <n v="1"/>
    <n v="10"/>
    <n v="3"/>
    <n v="9"/>
    <n v="7"/>
    <n v="0"/>
    <n v="5"/>
  </r>
  <r>
    <x v="1"/>
    <s v="Travel_Rarely"/>
    <x v="2"/>
    <s v="Current Employees"/>
    <x v="1"/>
    <x v="0"/>
    <s v="STAFF-824"/>
    <n v="824"/>
    <x v="1"/>
    <x v="1"/>
    <x v="1"/>
    <s v="No"/>
    <s v="Y"/>
    <n v="3"/>
    <n v="-2"/>
    <n v="0"/>
    <n v="29"/>
    <n v="0"/>
    <m/>
    <n v="0"/>
    <n v="1"/>
    <n v="1252"/>
    <n v="23"/>
    <x v="0"/>
    <n v="1"/>
    <n v="3"/>
    <n v="81"/>
    <n v="4"/>
    <n v="1"/>
    <n v="1"/>
    <n v="2700"/>
    <n v="23779"/>
    <n v="1"/>
    <n v="24"/>
    <n v="4"/>
    <n v="3"/>
    <n v="80"/>
    <n v="1"/>
    <n v="10"/>
    <n v="3"/>
    <n v="10"/>
    <n v="7"/>
    <n v="0"/>
    <n v="7"/>
  </r>
  <r>
    <x v="0"/>
    <s v="Travel_Rarely"/>
    <x v="3"/>
    <s v="Ex-Employees"/>
    <x v="1"/>
    <x v="0"/>
    <s v="STAFF-825"/>
    <n v="825"/>
    <x v="1"/>
    <x v="7"/>
    <x v="0"/>
    <s v="Yes"/>
    <s v="Y"/>
    <n v="2"/>
    <n v="-2"/>
    <n v="0"/>
    <n v="58"/>
    <n v="1"/>
    <n v="1"/>
    <n v="1"/>
    <n v="0"/>
    <n v="286"/>
    <n v="2"/>
    <x v="2"/>
    <n v="1"/>
    <n v="4"/>
    <n v="31"/>
    <n v="3"/>
    <n v="5"/>
    <n v="1"/>
    <n v="19246"/>
    <n v="25761"/>
    <n v="7"/>
    <n v="12"/>
    <n v="3"/>
    <n v="4"/>
    <n v="80"/>
    <n v="0"/>
    <n v="40"/>
    <n v="3"/>
    <n v="31"/>
    <n v="15"/>
    <n v="13"/>
    <n v="8"/>
  </r>
  <r>
    <x v="1"/>
    <s v="Travel_Rarely"/>
    <x v="0"/>
    <s v="Current Employees"/>
    <x v="1"/>
    <x v="0"/>
    <s v="STAFF-826"/>
    <n v="826"/>
    <x v="0"/>
    <x v="1"/>
    <x v="0"/>
    <s v="No"/>
    <s v="Y"/>
    <n v="0"/>
    <n v="-2"/>
    <n v="0"/>
    <n v="35"/>
    <n v="0"/>
    <m/>
    <n v="0"/>
    <n v="1"/>
    <n v="1258"/>
    <n v="1"/>
    <x v="2"/>
    <n v="1"/>
    <n v="4"/>
    <n v="40"/>
    <n v="4"/>
    <n v="1"/>
    <n v="1"/>
    <n v="2506"/>
    <n v="13301"/>
    <n v="3"/>
    <n v="13"/>
    <n v="3"/>
    <n v="3"/>
    <n v="80"/>
    <n v="0"/>
    <n v="7"/>
    <n v="3"/>
    <n v="2"/>
    <n v="2"/>
    <n v="2"/>
    <n v="2"/>
  </r>
  <r>
    <x v="1"/>
    <s v="Travel_Rarely"/>
    <x v="0"/>
    <s v="Current Employees"/>
    <x v="1"/>
    <x v="0"/>
    <s v="STAFF-827"/>
    <n v="827"/>
    <x v="0"/>
    <x v="3"/>
    <x v="1"/>
    <s v="Yes"/>
    <s v="Y"/>
    <n v="4"/>
    <n v="-2"/>
    <n v="0"/>
    <n v="42"/>
    <n v="0"/>
    <m/>
    <n v="0"/>
    <n v="1"/>
    <n v="932"/>
    <n v="1"/>
    <x v="0"/>
    <n v="1"/>
    <n v="4"/>
    <n v="43"/>
    <n v="2"/>
    <n v="2"/>
    <n v="1"/>
    <n v="6062"/>
    <n v="4051"/>
    <n v="9"/>
    <n v="13"/>
    <n v="3"/>
    <n v="4"/>
    <n v="80"/>
    <n v="1"/>
    <n v="8"/>
    <n v="3"/>
    <n v="4"/>
    <n v="3"/>
    <n v="0"/>
    <n v="2"/>
  </r>
  <r>
    <x v="0"/>
    <s v="Travel_Rarely"/>
    <x v="2"/>
    <s v="Ex-Employees"/>
    <x v="1"/>
    <x v="2"/>
    <s v="STAFF-828"/>
    <n v="828"/>
    <x v="1"/>
    <x v="1"/>
    <x v="0"/>
    <s v="No"/>
    <s v="Y"/>
    <n v="3"/>
    <n v="-2"/>
    <n v="0"/>
    <n v="28"/>
    <n v="1"/>
    <n v="1"/>
    <n v="1"/>
    <n v="0"/>
    <n v="890"/>
    <n v="2"/>
    <x v="2"/>
    <n v="1"/>
    <n v="3"/>
    <n v="46"/>
    <n v="3"/>
    <n v="1"/>
    <n v="3"/>
    <n v="4382"/>
    <n v="16374"/>
    <n v="6"/>
    <n v="17"/>
    <n v="3"/>
    <n v="4"/>
    <n v="80"/>
    <n v="0"/>
    <n v="5"/>
    <n v="2"/>
    <n v="2"/>
    <n v="2"/>
    <n v="2"/>
    <n v="1"/>
  </r>
  <r>
    <x v="1"/>
    <s v="Travel_Rarely"/>
    <x v="0"/>
    <s v="Current Employees"/>
    <x v="2"/>
    <x v="5"/>
    <s v="STAFF-829"/>
    <n v="829"/>
    <x v="1"/>
    <x v="8"/>
    <x v="1"/>
    <s v="No"/>
    <s v="Y"/>
    <n v="2"/>
    <n v="-2"/>
    <n v="0"/>
    <n v="36"/>
    <n v="0"/>
    <m/>
    <n v="0"/>
    <n v="1"/>
    <n v="1041"/>
    <n v="13"/>
    <x v="3"/>
    <n v="1"/>
    <n v="3"/>
    <n v="36"/>
    <n v="3"/>
    <n v="1"/>
    <n v="3"/>
    <n v="2143"/>
    <n v="25527"/>
    <n v="4"/>
    <n v="13"/>
    <n v="3"/>
    <n v="2"/>
    <n v="80"/>
    <n v="1"/>
    <n v="8"/>
    <n v="3"/>
    <n v="5"/>
    <n v="2"/>
    <n v="0"/>
    <n v="4"/>
  </r>
  <r>
    <x v="1"/>
    <s v="Travel_Rarely"/>
    <x v="2"/>
    <s v="Current Employees"/>
    <x v="1"/>
    <x v="0"/>
    <s v="STAFF-830"/>
    <n v="830"/>
    <x v="0"/>
    <x v="3"/>
    <x v="1"/>
    <s v="No"/>
    <s v="Y"/>
    <n v="3"/>
    <n v="-2"/>
    <n v="0"/>
    <n v="32"/>
    <n v="0"/>
    <m/>
    <n v="0"/>
    <n v="1"/>
    <n v="859"/>
    <n v="4"/>
    <x v="3"/>
    <n v="1"/>
    <n v="3"/>
    <n v="98"/>
    <n v="2"/>
    <n v="2"/>
    <n v="1"/>
    <n v="6162"/>
    <n v="19124"/>
    <n v="1"/>
    <n v="12"/>
    <n v="3"/>
    <n v="3"/>
    <n v="80"/>
    <n v="1"/>
    <n v="14"/>
    <n v="3"/>
    <n v="14"/>
    <n v="13"/>
    <n v="6"/>
    <n v="8"/>
  </r>
  <r>
    <x v="1"/>
    <s v="Travel_Frequently"/>
    <x v="0"/>
    <s v="Current Employees"/>
    <x v="1"/>
    <x v="2"/>
    <s v="STAFF-832"/>
    <n v="832"/>
    <x v="1"/>
    <x v="2"/>
    <x v="0"/>
    <s v="No"/>
    <s v="Y"/>
    <n v="6"/>
    <n v="-2"/>
    <n v="0"/>
    <n v="40"/>
    <n v="0"/>
    <m/>
    <n v="0"/>
    <n v="1"/>
    <n v="720"/>
    <n v="16"/>
    <x v="2"/>
    <n v="1"/>
    <n v="1"/>
    <n v="51"/>
    <n v="2"/>
    <n v="2"/>
    <n v="3"/>
    <n v="5094"/>
    <n v="11983"/>
    <n v="6"/>
    <n v="14"/>
    <n v="3"/>
    <n v="4"/>
    <n v="80"/>
    <n v="0"/>
    <n v="10"/>
    <n v="3"/>
    <n v="1"/>
    <n v="0"/>
    <n v="0"/>
    <n v="0"/>
  </r>
  <r>
    <x v="1"/>
    <s v="Travel_Rarely"/>
    <x v="2"/>
    <s v="Current Employees"/>
    <x v="1"/>
    <x v="2"/>
    <s v="STAFF-833"/>
    <n v="833"/>
    <x v="0"/>
    <x v="3"/>
    <x v="0"/>
    <s v="Yes"/>
    <s v="Y"/>
    <n v="4"/>
    <n v="-2"/>
    <n v="0"/>
    <n v="30"/>
    <n v="0"/>
    <m/>
    <n v="0"/>
    <n v="1"/>
    <n v="946"/>
    <n v="2"/>
    <x v="3"/>
    <n v="1"/>
    <n v="3"/>
    <n v="52"/>
    <n v="2"/>
    <n v="2"/>
    <n v="4"/>
    <n v="6877"/>
    <n v="20234"/>
    <n v="5"/>
    <n v="24"/>
    <n v="4"/>
    <n v="2"/>
    <n v="80"/>
    <n v="0"/>
    <n v="12"/>
    <n v="2"/>
    <n v="0"/>
    <n v="0"/>
    <n v="0"/>
    <n v="0"/>
  </r>
  <r>
    <x v="1"/>
    <s v="Travel_Rarely"/>
    <x v="1"/>
    <s v="Current Employees"/>
    <x v="1"/>
    <x v="0"/>
    <s v="STAFF-834"/>
    <n v="834"/>
    <x v="0"/>
    <x v="1"/>
    <x v="0"/>
    <s v="No"/>
    <s v="Y"/>
    <n v="3"/>
    <n v="-2"/>
    <n v="0"/>
    <n v="45"/>
    <n v="0"/>
    <m/>
    <n v="0"/>
    <n v="1"/>
    <n v="252"/>
    <n v="2"/>
    <x v="3"/>
    <n v="1"/>
    <n v="2"/>
    <n v="95"/>
    <n v="2"/>
    <n v="1"/>
    <n v="1"/>
    <n v="2274"/>
    <n v="6153"/>
    <n v="1"/>
    <n v="14"/>
    <n v="3"/>
    <n v="4"/>
    <n v="80"/>
    <n v="0"/>
    <n v="1"/>
    <n v="3"/>
    <n v="1"/>
    <n v="0"/>
    <n v="0"/>
    <n v="0"/>
  </r>
  <r>
    <x v="1"/>
    <s v="Travel_Rarely"/>
    <x v="0"/>
    <s v="Current Employees"/>
    <x v="1"/>
    <x v="0"/>
    <s v="STAFF-836"/>
    <n v="836"/>
    <x v="1"/>
    <x v="3"/>
    <x v="1"/>
    <s v="No"/>
    <s v="Y"/>
    <n v="3"/>
    <n v="-2"/>
    <n v="0"/>
    <n v="42"/>
    <n v="0"/>
    <m/>
    <n v="0"/>
    <n v="1"/>
    <n v="933"/>
    <n v="29"/>
    <x v="3"/>
    <n v="1"/>
    <n v="2"/>
    <n v="98"/>
    <n v="3"/>
    <n v="2"/>
    <n v="1"/>
    <n v="4434"/>
    <n v="11806"/>
    <n v="1"/>
    <n v="13"/>
    <n v="3"/>
    <n v="4"/>
    <n v="80"/>
    <n v="1"/>
    <n v="10"/>
    <n v="2"/>
    <n v="9"/>
    <n v="8"/>
    <n v="7"/>
    <n v="8"/>
  </r>
  <r>
    <x v="1"/>
    <s v="Travel_Frequently"/>
    <x v="0"/>
    <s v="Current Employees"/>
    <x v="1"/>
    <x v="0"/>
    <s v="STAFF-837"/>
    <n v="837"/>
    <x v="1"/>
    <x v="4"/>
    <x v="2"/>
    <s v="No"/>
    <s v="Y"/>
    <n v="3"/>
    <n v="-2"/>
    <n v="0"/>
    <n v="38"/>
    <n v="0"/>
    <m/>
    <n v="0"/>
    <n v="1"/>
    <n v="471"/>
    <n v="12"/>
    <x v="3"/>
    <n v="1"/>
    <n v="1"/>
    <n v="45"/>
    <n v="2"/>
    <n v="2"/>
    <n v="1"/>
    <n v="6288"/>
    <n v="4284"/>
    <n v="2"/>
    <n v="15"/>
    <n v="3"/>
    <n v="3"/>
    <n v="80"/>
    <n v="1"/>
    <n v="13"/>
    <n v="2"/>
    <n v="4"/>
    <n v="3"/>
    <n v="1"/>
    <n v="2"/>
  </r>
  <r>
    <x v="1"/>
    <s v="Travel_Frequently"/>
    <x v="2"/>
    <s v="Current Employees"/>
    <x v="1"/>
    <x v="0"/>
    <s v="STAFF-838"/>
    <n v="838"/>
    <x v="0"/>
    <x v="1"/>
    <x v="0"/>
    <s v="No"/>
    <s v="Y"/>
    <n v="3"/>
    <n v="-2"/>
    <n v="0"/>
    <n v="34"/>
    <n v="0"/>
    <m/>
    <n v="0"/>
    <n v="1"/>
    <n v="702"/>
    <n v="16"/>
    <x v="2"/>
    <n v="1"/>
    <n v="3"/>
    <n v="100"/>
    <n v="2"/>
    <n v="1"/>
    <n v="1"/>
    <n v="2553"/>
    <n v="8306"/>
    <n v="1"/>
    <n v="16"/>
    <n v="3"/>
    <n v="3"/>
    <n v="80"/>
    <n v="0"/>
    <n v="6"/>
    <n v="3"/>
    <n v="5"/>
    <n v="2"/>
    <n v="1"/>
    <n v="3"/>
  </r>
  <r>
    <x v="0"/>
    <s v="Travel_Rarely"/>
    <x v="1"/>
    <s v="Ex-Employees"/>
    <x v="0"/>
    <x v="3"/>
    <s v="STAFF-840"/>
    <n v="840"/>
    <x v="0"/>
    <x v="0"/>
    <x v="1"/>
    <s v="No"/>
    <s v="Y"/>
    <n v="3"/>
    <n v="-2"/>
    <n v="0"/>
    <n v="49"/>
    <n v="1"/>
    <n v="1"/>
    <n v="1"/>
    <n v="0"/>
    <n v="1184"/>
    <n v="11"/>
    <x v="3"/>
    <n v="1"/>
    <n v="3"/>
    <n v="43"/>
    <n v="3"/>
    <n v="3"/>
    <n v="2"/>
    <n v="7654"/>
    <n v="5860"/>
    <n v="1"/>
    <n v="18"/>
    <n v="3"/>
    <n v="1"/>
    <n v="80"/>
    <n v="2"/>
    <n v="9"/>
    <n v="4"/>
    <n v="9"/>
    <n v="8"/>
    <n v="7"/>
    <n v="7"/>
  </r>
  <r>
    <x v="0"/>
    <s v="Travel_Rarely"/>
    <x v="3"/>
    <s v="Ex-Employees"/>
    <x v="0"/>
    <x v="2"/>
    <s v="STAFF-842"/>
    <n v="842"/>
    <x v="1"/>
    <x v="0"/>
    <x v="0"/>
    <s v="No"/>
    <s v="Y"/>
    <n v="3"/>
    <n v="-2"/>
    <n v="0"/>
    <n v="55"/>
    <n v="1"/>
    <n v="1"/>
    <n v="1"/>
    <n v="0"/>
    <n v="436"/>
    <n v="2"/>
    <x v="1"/>
    <n v="1"/>
    <n v="3"/>
    <n v="37"/>
    <n v="3"/>
    <n v="2"/>
    <n v="4"/>
    <n v="5160"/>
    <n v="21519"/>
    <n v="4"/>
    <n v="16"/>
    <n v="3"/>
    <n v="3"/>
    <n v="80"/>
    <n v="0"/>
    <n v="12"/>
    <n v="2"/>
    <n v="9"/>
    <n v="7"/>
    <n v="7"/>
    <n v="3"/>
  </r>
  <r>
    <x v="1"/>
    <s v="Travel_Rarely"/>
    <x v="0"/>
    <s v="Current Employees"/>
    <x v="1"/>
    <x v="0"/>
    <s v="STAFF-843"/>
    <n v="843"/>
    <x v="1"/>
    <x v="7"/>
    <x v="1"/>
    <s v="No"/>
    <s v="Y"/>
    <n v="3"/>
    <n v="-2"/>
    <n v="0"/>
    <n v="43"/>
    <n v="0"/>
    <m/>
    <n v="0"/>
    <n v="1"/>
    <n v="589"/>
    <n v="14"/>
    <x v="0"/>
    <n v="1"/>
    <n v="2"/>
    <n v="94"/>
    <n v="3"/>
    <n v="4"/>
    <n v="1"/>
    <n v="17159"/>
    <n v="5200"/>
    <n v="6"/>
    <n v="24"/>
    <n v="4"/>
    <n v="3"/>
    <n v="80"/>
    <n v="1"/>
    <n v="22"/>
    <n v="3"/>
    <n v="4"/>
    <n v="1"/>
    <n v="1"/>
    <n v="0"/>
  </r>
  <r>
    <x v="1"/>
    <s v="Travel_Rarely"/>
    <x v="2"/>
    <s v="Current Employees"/>
    <x v="1"/>
    <x v="4"/>
    <s v="STAFF-844"/>
    <n v="844"/>
    <x v="1"/>
    <x v="7"/>
    <x v="2"/>
    <s v="Yes"/>
    <s v="Y"/>
    <n v="3"/>
    <n v="-2"/>
    <n v="0"/>
    <n v="27"/>
    <n v="0"/>
    <m/>
    <n v="0"/>
    <n v="1"/>
    <n v="269"/>
    <n v="5"/>
    <x v="1"/>
    <n v="1"/>
    <n v="4"/>
    <n v="42"/>
    <n v="2"/>
    <n v="3"/>
    <n v="4"/>
    <n v="12808"/>
    <n v="8842"/>
    <n v="1"/>
    <n v="16"/>
    <n v="3"/>
    <n v="2"/>
    <n v="80"/>
    <n v="1"/>
    <n v="9"/>
    <n v="3"/>
    <n v="9"/>
    <n v="8"/>
    <n v="0"/>
    <n v="8"/>
  </r>
  <r>
    <x v="1"/>
    <s v="Travel_Rarely"/>
    <x v="0"/>
    <s v="Current Employees"/>
    <x v="1"/>
    <x v="1"/>
    <s v="STAFF-845"/>
    <n v="845"/>
    <x v="1"/>
    <x v="3"/>
    <x v="0"/>
    <s v="No"/>
    <s v="Y"/>
    <n v="3"/>
    <n v="-2"/>
    <n v="0"/>
    <n v="35"/>
    <n v="0"/>
    <m/>
    <n v="0"/>
    <n v="1"/>
    <n v="950"/>
    <n v="7"/>
    <x v="3"/>
    <n v="1"/>
    <n v="3"/>
    <n v="59"/>
    <n v="3"/>
    <n v="3"/>
    <n v="3"/>
    <n v="10221"/>
    <n v="18869"/>
    <n v="3"/>
    <n v="21"/>
    <n v="4"/>
    <n v="2"/>
    <n v="80"/>
    <n v="0"/>
    <n v="17"/>
    <n v="4"/>
    <n v="8"/>
    <n v="5"/>
    <n v="1"/>
    <n v="6"/>
  </r>
  <r>
    <x v="1"/>
    <s v="Travel_Rarely"/>
    <x v="2"/>
    <s v="Current Employees"/>
    <x v="0"/>
    <x v="3"/>
    <s v="STAFF-846"/>
    <n v="846"/>
    <x v="0"/>
    <x v="0"/>
    <x v="1"/>
    <s v="Yes"/>
    <s v="Y"/>
    <n v="2"/>
    <n v="-2"/>
    <n v="0"/>
    <n v="28"/>
    <n v="0"/>
    <m/>
    <n v="0"/>
    <n v="1"/>
    <n v="760"/>
    <n v="2"/>
    <x v="2"/>
    <n v="1"/>
    <n v="2"/>
    <n v="81"/>
    <n v="3"/>
    <n v="2"/>
    <n v="2"/>
    <n v="4779"/>
    <n v="3698"/>
    <n v="1"/>
    <n v="20"/>
    <n v="4"/>
    <n v="1"/>
    <n v="80"/>
    <n v="0"/>
    <n v="8"/>
    <n v="3"/>
    <n v="8"/>
    <n v="7"/>
    <n v="7"/>
    <n v="5"/>
  </r>
  <r>
    <x v="1"/>
    <s v="Travel_Rarely"/>
    <x v="2"/>
    <s v="Current Employees"/>
    <x v="2"/>
    <x v="5"/>
    <s v="STAFF-847"/>
    <n v="847"/>
    <x v="1"/>
    <x v="8"/>
    <x v="1"/>
    <s v="No"/>
    <s v="Y"/>
    <n v="1"/>
    <n v="-2"/>
    <n v="0"/>
    <n v="34"/>
    <n v="0"/>
    <m/>
    <n v="0"/>
    <n v="1"/>
    <n v="829"/>
    <n v="3"/>
    <x v="0"/>
    <n v="1"/>
    <n v="3"/>
    <n v="88"/>
    <n v="3"/>
    <n v="1"/>
    <n v="4"/>
    <n v="3737"/>
    <n v="2243"/>
    <n v="0"/>
    <n v="19"/>
    <n v="3"/>
    <n v="3"/>
    <n v="80"/>
    <n v="1"/>
    <n v="4"/>
    <n v="1"/>
    <n v="3"/>
    <n v="2"/>
    <n v="0"/>
    <n v="2"/>
  </r>
  <r>
    <x v="0"/>
    <s v="Travel_Frequently"/>
    <x v="2"/>
    <s v="Ex-Employees"/>
    <x v="1"/>
    <x v="2"/>
    <s v="STAFF-848"/>
    <n v="848"/>
    <x v="0"/>
    <x v="1"/>
    <x v="1"/>
    <s v="Yes"/>
    <s v="Y"/>
    <n v="2"/>
    <n v="-2"/>
    <n v="0"/>
    <n v="26"/>
    <n v="1"/>
    <n v="1"/>
    <n v="1"/>
    <n v="0"/>
    <n v="887"/>
    <n v="5"/>
    <x v="0"/>
    <n v="1"/>
    <n v="3"/>
    <n v="88"/>
    <n v="2"/>
    <n v="1"/>
    <n v="3"/>
    <n v="2366"/>
    <n v="20898"/>
    <n v="1"/>
    <n v="14"/>
    <n v="3"/>
    <n v="1"/>
    <n v="80"/>
    <n v="1"/>
    <n v="8"/>
    <n v="3"/>
    <n v="8"/>
    <n v="7"/>
    <n v="1"/>
    <n v="7"/>
  </r>
  <r>
    <x v="1"/>
    <s v="Non-Travel"/>
    <x v="2"/>
    <s v="Current Employees"/>
    <x v="1"/>
    <x v="2"/>
    <s v="STAFF-850"/>
    <n v="850"/>
    <x v="1"/>
    <x v="1"/>
    <x v="1"/>
    <s v="No"/>
    <s v="Y"/>
    <n v="6"/>
    <n v="-2"/>
    <n v="0"/>
    <n v="27"/>
    <n v="0"/>
    <m/>
    <n v="0"/>
    <n v="1"/>
    <n v="443"/>
    <n v="3"/>
    <x v="3"/>
    <n v="1"/>
    <n v="4"/>
    <n v="50"/>
    <n v="3"/>
    <n v="1"/>
    <n v="4"/>
    <n v="1706"/>
    <n v="16571"/>
    <n v="1"/>
    <n v="11"/>
    <n v="3"/>
    <n v="3"/>
    <n v="80"/>
    <n v="3"/>
    <n v="0"/>
    <n v="2"/>
    <n v="0"/>
    <n v="0"/>
    <n v="0"/>
    <n v="0"/>
  </r>
  <r>
    <x v="1"/>
    <s v="Travel_Rarely"/>
    <x v="1"/>
    <s v="Current Employees"/>
    <x v="0"/>
    <x v="3"/>
    <s v="STAFF-851"/>
    <n v="851"/>
    <x v="0"/>
    <x v="5"/>
    <x v="1"/>
    <s v="No"/>
    <s v="Y"/>
    <n v="2"/>
    <n v="-2"/>
    <n v="0"/>
    <n v="51"/>
    <n v="0"/>
    <m/>
    <n v="0"/>
    <n v="1"/>
    <n v="1318"/>
    <n v="26"/>
    <x v="2"/>
    <n v="1"/>
    <n v="1"/>
    <n v="66"/>
    <n v="3"/>
    <n v="4"/>
    <n v="2"/>
    <n v="16307"/>
    <n v="5594"/>
    <n v="2"/>
    <n v="14"/>
    <n v="3"/>
    <n v="3"/>
    <n v="80"/>
    <n v="1"/>
    <n v="29"/>
    <n v="2"/>
    <n v="20"/>
    <n v="6"/>
    <n v="4"/>
    <n v="17"/>
  </r>
  <r>
    <x v="1"/>
    <s v="Travel_Rarely"/>
    <x v="0"/>
    <s v="Current Employees"/>
    <x v="1"/>
    <x v="2"/>
    <s v="STAFF-852"/>
    <n v="852"/>
    <x v="1"/>
    <x v="4"/>
    <x v="0"/>
    <s v="No"/>
    <s v="Y"/>
    <n v="2"/>
    <n v="-2"/>
    <n v="0"/>
    <n v="44"/>
    <n v="0"/>
    <m/>
    <n v="0"/>
    <n v="1"/>
    <n v="625"/>
    <n v="4"/>
    <x v="3"/>
    <n v="1"/>
    <n v="4"/>
    <n v="50"/>
    <n v="3"/>
    <n v="2"/>
    <n v="3"/>
    <n v="5933"/>
    <n v="5197"/>
    <n v="9"/>
    <n v="12"/>
    <n v="3"/>
    <n v="4"/>
    <n v="80"/>
    <n v="0"/>
    <n v="10"/>
    <n v="2"/>
    <n v="5"/>
    <n v="2"/>
    <n v="2"/>
    <n v="3"/>
  </r>
  <r>
    <x v="1"/>
    <s v="Travel_Rarely"/>
    <x v="2"/>
    <s v="Current Employees"/>
    <x v="1"/>
    <x v="2"/>
    <s v="STAFF-854"/>
    <n v="854"/>
    <x v="1"/>
    <x v="1"/>
    <x v="0"/>
    <s v="No"/>
    <s v="Y"/>
    <n v="3"/>
    <n v="-2"/>
    <n v="0"/>
    <n v="25"/>
    <n v="0"/>
    <m/>
    <n v="0"/>
    <n v="1"/>
    <n v="180"/>
    <n v="2"/>
    <x v="1"/>
    <n v="1"/>
    <n v="1"/>
    <n v="65"/>
    <n v="4"/>
    <n v="1"/>
    <n v="3"/>
    <n v="3424"/>
    <n v="21632"/>
    <n v="7"/>
    <n v="13"/>
    <n v="3"/>
    <n v="3"/>
    <n v="80"/>
    <n v="0"/>
    <n v="6"/>
    <n v="2"/>
    <n v="4"/>
    <n v="3"/>
    <n v="0"/>
    <n v="1"/>
  </r>
  <r>
    <x v="1"/>
    <s v="Travel_Rarely"/>
    <x v="2"/>
    <s v="Current Employees"/>
    <x v="0"/>
    <x v="2"/>
    <s v="STAFF-855"/>
    <n v="855"/>
    <x v="1"/>
    <x v="0"/>
    <x v="2"/>
    <s v="No"/>
    <s v="Y"/>
    <n v="5"/>
    <n v="-2"/>
    <n v="0"/>
    <n v="33"/>
    <n v="0"/>
    <m/>
    <n v="0"/>
    <n v="1"/>
    <n v="586"/>
    <n v="1"/>
    <x v="3"/>
    <n v="1"/>
    <n v="1"/>
    <n v="48"/>
    <n v="4"/>
    <n v="2"/>
    <n v="3"/>
    <n v="4037"/>
    <n v="21816"/>
    <n v="1"/>
    <n v="22"/>
    <n v="4"/>
    <n v="1"/>
    <n v="80"/>
    <n v="1"/>
    <n v="9"/>
    <n v="3"/>
    <n v="9"/>
    <n v="8"/>
    <n v="0"/>
    <n v="8"/>
  </r>
  <r>
    <x v="1"/>
    <s v="Travel_Rarely"/>
    <x v="0"/>
    <s v="Current Employees"/>
    <x v="1"/>
    <x v="2"/>
    <s v="STAFF-856"/>
    <n v="856"/>
    <x v="0"/>
    <x v="1"/>
    <x v="0"/>
    <s v="No"/>
    <s v="Y"/>
    <n v="3"/>
    <n v="-2"/>
    <n v="0"/>
    <n v="35"/>
    <n v="0"/>
    <m/>
    <n v="0"/>
    <n v="1"/>
    <n v="1343"/>
    <n v="27"/>
    <x v="1"/>
    <n v="1"/>
    <n v="3"/>
    <n v="53"/>
    <n v="2"/>
    <n v="1"/>
    <n v="3"/>
    <n v="2559"/>
    <n v="17852"/>
    <n v="1"/>
    <n v="11"/>
    <n v="3"/>
    <n v="4"/>
    <n v="80"/>
    <n v="0"/>
    <n v="6"/>
    <n v="2"/>
    <n v="6"/>
    <n v="5"/>
    <n v="1"/>
    <n v="1"/>
  </r>
  <r>
    <x v="1"/>
    <s v="Travel_Rarely"/>
    <x v="0"/>
    <s v="Current Employees"/>
    <x v="0"/>
    <x v="0"/>
    <s v="STAFF-857"/>
    <n v="857"/>
    <x v="1"/>
    <x v="0"/>
    <x v="1"/>
    <s v="Yes"/>
    <s v="Y"/>
    <n v="1"/>
    <n v="-2"/>
    <n v="0"/>
    <n v="36"/>
    <n v="0"/>
    <m/>
    <n v="0"/>
    <n v="1"/>
    <n v="928"/>
    <n v="1"/>
    <x v="0"/>
    <n v="1"/>
    <n v="2"/>
    <n v="56"/>
    <n v="3"/>
    <n v="2"/>
    <n v="1"/>
    <n v="6201"/>
    <n v="2823"/>
    <n v="1"/>
    <n v="14"/>
    <n v="3"/>
    <n v="4"/>
    <n v="80"/>
    <n v="1"/>
    <n v="18"/>
    <n v="2"/>
    <n v="18"/>
    <n v="14"/>
    <n v="4"/>
    <n v="11"/>
  </r>
  <r>
    <x v="1"/>
    <s v="Travel_Rarely"/>
    <x v="2"/>
    <s v="Current Employees"/>
    <x v="0"/>
    <x v="0"/>
    <s v="STAFF-859"/>
    <n v="859"/>
    <x v="1"/>
    <x v="0"/>
    <x v="2"/>
    <s v="No"/>
    <s v="Y"/>
    <n v="3"/>
    <n v="-2"/>
    <n v="0"/>
    <n v="32"/>
    <n v="0"/>
    <m/>
    <n v="0"/>
    <n v="1"/>
    <n v="117"/>
    <n v="13"/>
    <x v="2"/>
    <n v="1"/>
    <n v="2"/>
    <n v="73"/>
    <n v="3"/>
    <n v="2"/>
    <n v="1"/>
    <n v="4403"/>
    <n v="9250"/>
    <n v="2"/>
    <n v="11"/>
    <n v="3"/>
    <n v="3"/>
    <n v="80"/>
    <n v="1"/>
    <n v="8"/>
    <n v="2"/>
    <n v="5"/>
    <n v="2"/>
    <n v="0"/>
    <n v="3"/>
  </r>
  <r>
    <x v="1"/>
    <s v="Travel_Frequently"/>
    <x v="2"/>
    <s v="Current Employees"/>
    <x v="1"/>
    <x v="0"/>
    <s v="STAFF-861"/>
    <n v="861"/>
    <x v="1"/>
    <x v="1"/>
    <x v="2"/>
    <s v="No"/>
    <s v="Y"/>
    <n v="3"/>
    <n v="-2"/>
    <n v="0"/>
    <n v="30"/>
    <n v="0"/>
    <m/>
    <n v="0"/>
    <n v="1"/>
    <n v="1012"/>
    <n v="5"/>
    <x v="2"/>
    <n v="1"/>
    <n v="2"/>
    <n v="75"/>
    <n v="2"/>
    <n v="1"/>
    <n v="1"/>
    <n v="3761"/>
    <n v="2373"/>
    <n v="9"/>
    <n v="12"/>
    <n v="3"/>
    <n v="2"/>
    <n v="80"/>
    <n v="1"/>
    <n v="10"/>
    <n v="2"/>
    <n v="5"/>
    <n v="4"/>
    <n v="0"/>
    <n v="3"/>
  </r>
  <r>
    <x v="1"/>
    <s v="Travel_Rarely"/>
    <x v="1"/>
    <s v="Current Employees"/>
    <x v="0"/>
    <x v="3"/>
    <s v="STAFF-862"/>
    <n v="862"/>
    <x v="0"/>
    <x v="0"/>
    <x v="1"/>
    <s v="Yes"/>
    <s v="Y"/>
    <n v="3"/>
    <n v="-2"/>
    <n v="0"/>
    <n v="53"/>
    <n v="0"/>
    <m/>
    <n v="0"/>
    <n v="1"/>
    <n v="661"/>
    <n v="7"/>
    <x v="0"/>
    <n v="1"/>
    <n v="1"/>
    <n v="78"/>
    <n v="2"/>
    <n v="3"/>
    <n v="2"/>
    <n v="10934"/>
    <n v="20715"/>
    <n v="7"/>
    <n v="18"/>
    <n v="3"/>
    <n v="4"/>
    <n v="80"/>
    <n v="1"/>
    <n v="35"/>
    <n v="3"/>
    <n v="5"/>
    <n v="2"/>
    <n v="0"/>
    <n v="4"/>
  </r>
  <r>
    <x v="1"/>
    <s v="Travel_Rarely"/>
    <x v="1"/>
    <s v="Current Employees"/>
    <x v="0"/>
    <x v="3"/>
    <s v="STAFF-864"/>
    <n v="864"/>
    <x v="1"/>
    <x v="0"/>
    <x v="2"/>
    <s v="Yes"/>
    <s v="Y"/>
    <n v="2"/>
    <n v="-2"/>
    <n v="0"/>
    <n v="45"/>
    <n v="0"/>
    <m/>
    <n v="0"/>
    <n v="1"/>
    <n v="930"/>
    <n v="9"/>
    <x v="3"/>
    <n v="1"/>
    <n v="4"/>
    <n v="74"/>
    <n v="3"/>
    <n v="3"/>
    <n v="2"/>
    <n v="10761"/>
    <n v="19239"/>
    <n v="4"/>
    <n v="12"/>
    <n v="3"/>
    <n v="3"/>
    <n v="80"/>
    <n v="1"/>
    <n v="18"/>
    <n v="3"/>
    <n v="5"/>
    <n v="4"/>
    <n v="0"/>
    <n v="2"/>
  </r>
  <r>
    <x v="1"/>
    <s v="Travel_Rarely"/>
    <x v="2"/>
    <s v="Current Employees"/>
    <x v="1"/>
    <x v="2"/>
    <s v="STAFF-865"/>
    <n v="865"/>
    <x v="0"/>
    <x v="1"/>
    <x v="1"/>
    <s v="No"/>
    <s v="Y"/>
    <n v="3"/>
    <n v="-2"/>
    <n v="0"/>
    <n v="32"/>
    <n v="0"/>
    <m/>
    <n v="0"/>
    <n v="1"/>
    <n v="638"/>
    <n v="8"/>
    <x v="0"/>
    <n v="1"/>
    <n v="3"/>
    <n v="91"/>
    <n v="4"/>
    <n v="2"/>
    <n v="3"/>
    <n v="5175"/>
    <n v="22162"/>
    <n v="5"/>
    <n v="12"/>
    <n v="3"/>
    <n v="3"/>
    <n v="80"/>
    <n v="1"/>
    <n v="9"/>
    <n v="2"/>
    <n v="5"/>
    <n v="3"/>
    <n v="1"/>
    <n v="3"/>
  </r>
  <r>
    <x v="1"/>
    <s v="Travel_Frequently"/>
    <x v="1"/>
    <s v="Current Employees"/>
    <x v="1"/>
    <x v="2"/>
    <s v="STAFF-867"/>
    <n v="867"/>
    <x v="0"/>
    <x v="3"/>
    <x v="1"/>
    <s v="No"/>
    <s v="Y"/>
    <n v="3"/>
    <n v="-2"/>
    <n v="0"/>
    <n v="52"/>
    <n v="0"/>
    <m/>
    <n v="0"/>
    <n v="1"/>
    <n v="890"/>
    <n v="25"/>
    <x v="2"/>
    <n v="1"/>
    <n v="3"/>
    <n v="81"/>
    <n v="2"/>
    <n v="4"/>
    <n v="4"/>
    <n v="13826"/>
    <n v="19028"/>
    <n v="3"/>
    <n v="22"/>
    <n v="4"/>
    <n v="3"/>
    <n v="80"/>
    <n v="0"/>
    <n v="31"/>
    <n v="3"/>
    <n v="9"/>
    <n v="8"/>
    <n v="0"/>
    <n v="0"/>
  </r>
  <r>
    <x v="1"/>
    <s v="Travel_Rarely"/>
    <x v="0"/>
    <s v="Current Employees"/>
    <x v="0"/>
    <x v="3"/>
    <s v="STAFF-868"/>
    <n v="868"/>
    <x v="1"/>
    <x v="0"/>
    <x v="2"/>
    <s v="No"/>
    <s v="Y"/>
    <n v="2"/>
    <n v="-2"/>
    <n v="0"/>
    <n v="37"/>
    <n v="0"/>
    <m/>
    <n v="0"/>
    <n v="1"/>
    <n v="342"/>
    <n v="16"/>
    <x v="2"/>
    <n v="1"/>
    <n v="4"/>
    <n v="66"/>
    <n v="2"/>
    <n v="2"/>
    <n v="2"/>
    <n v="6334"/>
    <n v="24558"/>
    <n v="4"/>
    <n v="19"/>
    <n v="3"/>
    <n v="4"/>
    <n v="80"/>
    <n v="2"/>
    <n v="9"/>
    <n v="3"/>
    <n v="1"/>
    <n v="0"/>
    <n v="0"/>
    <n v="0"/>
  </r>
  <r>
    <x v="1"/>
    <s v="Travel_Rarely"/>
    <x v="2"/>
    <s v="Current Employees"/>
    <x v="2"/>
    <x v="2"/>
    <s v="STAFF-869"/>
    <n v="869"/>
    <x v="1"/>
    <x v="8"/>
    <x v="2"/>
    <s v="No"/>
    <s v="Y"/>
    <n v="6"/>
    <n v="-2"/>
    <n v="0"/>
    <n v="28"/>
    <n v="0"/>
    <m/>
    <n v="0"/>
    <n v="1"/>
    <n v="1169"/>
    <n v="8"/>
    <x v="0"/>
    <n v="1"/>
    <n v="2"/>
    <n v="63"/>
    <n v="2"/>
    <n v="1"/>
    <n v="4"/>
    <n v="4936"/>
    <n v="23965"/>
    <n v="1"/>
    <n v="13"/>
    <n v="3"/>
    <n v="4"/>
    <n v="80"/>
    <n v="1"/>
    <n v="6"/>
    <n v="3"/>
    <n v="5"/>
    <n v="1"/>
    <n v="0"/>
    <n v="4"/>
  </r>
  <r>
    <x v="1"/>
    <s v="Travel_Rarely"/>
    <x v="4"/>
    <s v="Current Employees"/>
    <x v="1"/>
    <x v="0"/>
    <s v="STAFF-872"/>
    <n v="872"/>
    <x v="1"/>
    <x v="3"/>
    <x v="1"/>
    <s v="No"/>
    <s v="Y"/>
    <n v="2"/>
    <n v="-2"/>
    <n v="0"/>
    <n v="22"/>
    <n v="0"/>
    <m/>
    <n v="0"/>
    <n v="1"/>
    <n v="1230"/>
    <n v="1"/>
    <x v="0"/>
    <n v="1"/>
    <n v="4"/>
    <n v="33"/>
    <n v="2"/>
    <n v="2"/>
    <n v="1"/>
    <n v="4775"/>
    <n v="19146"/>
    <n v="6"/>
    <n v="22"/>
    <n v="4"/>
    <n v="1"/>
    <n v="80"/>
    <n v="2"/>
    <n v="4"/>
    <n v="1"/>
    <n v="2"/>
    <n v="2"/>
    <n v="2"/>
    <n v="2"/>
  </r>
  <r>
    <x v="1"/>
    <s v="Travel_Rarely"/>
    <x v="0"/>
    <s v="Current Employees"/>
    <x v="1"/>
    <x v="0"/>
    <s v="STAFF-874"/>
    <n v="874"/>
    <x v="1"/>
    <x v="2"/>
    <x v="1"/>
    <s v="Yes"/>
    <s v="Y"/>
    <n v="2"/>
    <n v="-2"/>
    <n v="0"/>
    <n v="44"/>
    <n v="0"/>
    <m/>
    <n v="0"/>
    <n v="1"/>
    <n v="986"/>
    <n v="8"/>
    <x v="2"/>
    <n v="1"/>
    <n v="1"/>
    <n v="62"/>
    <n v="4"/>
    <n v="1"/>
    <n v="1"/>
    <n v="2818"/>
    <n v="5044"/>
    <n v="2"/>
    <n v="24"/>
    <n v="4"/>
    <n v="3"/>
    <n v="80"/>
    <n v="1"/>
    <n v="10"/>
    <n v="2"/>
    <n v="3"/>
    <n v="2"/>
    <n v="0"/>
    <n v="2"/>
  </r>
  <r>
    <x v="1"/>
    <s v="Travel_Frequently"/>
    <x v="0"/>
    <s v="Current Employees"/>
    <x v="1"/>
    <x v="2"/>
    <s v="STAFF-875"/>
    <n v="875"/>
    <x v="1"/>
    <x v="1"/>
    <x v="0"/>
    <s v="Yes"/>
    <s v="Y"/>
    <n v="2"/>
    <n v="-2"/>
    <n v="0"/>
    <n v="42"/>
    <n v="0"/>
    <m/>
    <n v="0"/>
    <n v="1"/>
    <n v="1271"/>
    <n v="2"/>
    <x v="1"/>
    <n v="1"/>
    <n v="2"/>
    <n v="35"/>
    <n v="3"/>
    <n v="1"/>
    <n v="4"/>
    <n v="2515"/>
    <n v="9068"/>
    <n v="5"/>
    <n v="14"/>
    <n v="3"/>
    <n v="4"/>
    <n v="80"/>
    <n v="0"/>
    <n v="8"/>
    <n v="3"/>
    <n v="2"/>
    <n v="1"/>
    <n v="2"/>
    <n v="2"/>
  </r>
  <r>
    <x v="1"/>
    <s v="Travel_Rarely"/>
    <x v="0"/>
    <s v="Current Employees"/>
    <x v="2"/>
    <x v="0"/>
    <s v="STAFF-878"/>
    <n v="878"/>
    <x v="1"/>
    <x v="8"/>
    <x v="1"/>
    <s v="No"/>
    <s v="Y"/>
    <n v="3"/>
    <n v="-2"/>
    <n v="0"/>
    <n v="36"/>
    <n v="0"/>
    <m/>
    <n v="0"/>
    <n v="1"/>
    <n v="1278"/>
    <n v="8"/>
    <x v="3"/>
    <n v="1"/>
    <n v="1"/>
    <n v="77"/>
    <n v="2"/>
    <n v="1"/>
    <n v="1"/>
    <n v="2342"/>
    <n v="8635"/>
    <n v="0"/>
    <n v="21"/>
    <n v="4"/>
    <n v="3"/>
    <n v="80"/>
    <n v="0"/>
    <n v="6"/>
    <n v="3"/>
    <n v="5"/>
    <n v="4"/>
    <n v="0"/>
    <n v="3"/>
  </r>
  <r>
    <x v="1"/>
    <s v="Travel_Rarely"/>
    <x v="2"/>
    <s v="Current Employees"/>
    <x v="0"/>
    <x v="1"/>
    <s v="STAFF-879"/>
    <n v="879"/>
    <x v="1"/>
    <x v="0"/>
    <x v="1"/>
    <s v="Yes"/>
    <s v="Y"/>
    <n v="3"/>
    <n v="-2"/>
    <n v="0"/>
    <n v="25"/>
    <n v="0"/>
    <m/>
    <n v="0"/>
    <n v="1"/>
    <n v="141"/>
    <n v="3"/>
    <x v="1"/>
    <n v="1"/>
    <n v="3"/>
    <n v="98"/>
    <n v="3"/>
    <n v="2"/>
    <n v="3"/>
    <n v="4194"/>
    <n v="14363"/>
    <n v="1"/>
    <n v="18"/>
    <n v="3"/>
    <n v="4"/>
    <n v="80"/>
    <n v="0"/>
    <n v="5"/>
    <n v="3"/>
    <n v="5"/>
    <n v="3"/>
    <n v="0"/>
    <n v="3"/>
  </r>
  <r>
    <x v="1"/>
    <s v="Travel_Rarely"/>
    <x v="0"/>
    <s v="Current Employees"/>
    <x v="1"/>
    <x v="0"/>
    <s v="STAFF-880"/>
    <n v="880"/>
    <x v="0"/>
    <x v="3"/>
    <x v="1"/>
    <s v="Yes"/>
    <s v="Y"/>
    <n v="2"/>
    <n v="-2"/>
    <n v="0"/>
    <n v="35"/>
    <n v="0"/>
    <m/>
    <n v="0"/>
    <n v="1"/>
    <n v="607"/>
    <n v="9"/>
    <x v="3"/>
    <n v="1"/>
    <n v="4"/>
    <n v="66"/>
    <n v="2"/>
    <n v="3"/>
    <n v="1"/>
    <n v="10685"/>
    <n v="23457"/>
    <n v="1"/>
    <n v="20"/>
    <n v="4"/>
    <n v="2"/>
    <n v="80"/>
    <n v="1"/>
    <n v="17"/>
    <n v="3"/>
    <n v="17"/>
    <n v="14"/>
    <n v="5"/>
    <n v="15"/>
  </r>
  <r>
    <x v="0"/>
    <s v="Travel_Frequently"/>
    <x v="0"/>
    <s v="Ex-Employees"/>
    <x v="1"/>
    <x v="0"/>
    <s v="STAFF-881"/>
    <n v="881"/>
    <x v="0"/>
    <x v="1"/>
    <x v="2"/>
    <s v="Yes"/>
    <s v="Y"/>
    <n v="3"/>
    <n v="-2"/>
    <n v="0"/>
    <n v="35"/>
    <n v="1"/>
    <n v="1"/>
    <n v="1"/>
    <n v="0"/>
    <n v="130"/>
    <n v="25"/>
    <x v="2"/>
    <n v="1"/>
    <n v="4"/>
    <n v="96"/>
    <n v="3"/>
    <n v="1"/>
    <n v="1"/>
    <n v="2022"/>
    <n v="16612"/>
    <n v="1"/>
    <n v="19"/>
    <n v="3"/>
    <n v="1"/>
    <n v="80"/>
    <n v="1"/>
    <n v="10"/>
    <n v="2"/>
    <n v="10"/>
    <n v="2"/>
    <n v="7"/>
    <n v="8"/>
  </r>
  <r>
    <x v="1"/>
    <s v="Non-Travel"/>
    <x v="2"/>
    <s v="Current Employees"/>
    <x v="1"/>
    <x v="0"/>
    <s v="STAFF-882"/>
    <n v="882"/>
    <x v="1"/>
    <x v="2"/>
    <x v="2"/>
    <s v="No"/>
    <s v="Y"/>
    <n v="2"/>
    <n v="-2"/>
    <n v="0"/>
    <n v="32"/>
    <n v="0"/>
    <m/>
    <n v="0"/>
    <n v="1"/>
    <n v="300"/>
    <n v="1"/>
    <x v="3"/>
    <n v="1"/>
    <n v="4"/>
    <n v="61"/>
    <n v="3"/>
    <n v="1"/>
    <n v="1"/>
    <n v="2314"/>
    <n v="9148"/>
    <n v="0"/>
    <n v="12"/>
    <n v="3"/>
    <n v="2"/>
    <n v="80"/>
    <n v="1"/>
    <n v="4"/>
    <n v="3"/>
    <n v="3"/>
    <n v="0"/>
    <n v="0"/>
    <n v="2"/>
  </r>
  <r>
    <x v="1"/>
    <s v="Travel_Rarely"/>
    <x v="2"/>
    <s v="Current Employees"/>
    <x v="0"/>
    <x v="3"/>
    <s v="STAFF-885"/>
    <n v="885"/>
    <x v="1"/>
    <x v="0"/>
    <x v="1"/>
    <s v="No"/>
    <s v="Y"/>
    <n v="1"/>
    <n v="-2"/>
    <n v="0"/>
    <n v="25"/>
    <n v="0"/>
    <m/>
    <n v="0"/>
    <n v="1"/>
    <n v="583"/>
    <n v="4"/>
    <x v="1"/>
    <n v="1"/>
    <n v="3"/>
    <n v="87"/>
    <n v="2"/>
    <n v="2"/>
    <n v="2"/>
    <n v="4256"/>
    <n v="18154"/>
    <n v="1"/>
    <n v="12"/>
    <n v="3"/>
    <n v="1"/>
    <n v="80"/>
    <n v="0"/>
    <n v="5"/>
    <n v="4"/>
    <n v="5"/>
    <n v="2"/>
    <n v="0"/>
    <n v="3"/>
  </r>
  <r>
    <x v="1"/>
    <s v="Travel_Rarely"/>
    <x v="1"/>
    <s v="Current Employees"/>
    <x v="1"/>
    <x v="4"/>
    <s v="STAFF-887"/>
    <n v="887"/>
    <x v="0"/>
    <x v="1"/>
    <x v="1"/>
    <s v="No"/>
    <s v="Y"/>
    <n v="2"/>
    <n v="-2"/>
    <n v="0"/>
    <n v="49"/>
    <n v="0"/>
    <m/>
    <n v="0"/>
    <n v="1"/>
    <n v="1418"/>
    <n v="1"/>
    <x v="3"/>
    <n v="1"/>
    <n v="4"/>
    <n v="36"/>
    <n v="3"/>
    <n v="1"/>
    <n v="4"/>
    <n v="3580"/>
    <n v="10554"/>
    <n v="2"/>
    <n v="16"/>
    <n v="3"/>
    <n v="2"/>
    <n v="80"/>
    <n v="1"/>
    <n v="7"/>
    <n v="3"/>
    <n v="4"/>
    <n v="2"/>
    <n v="0"/>
    <n v="2"/>
  </r>
  <r>
    <x v="1"/>
    <s v="Non-Travel"/>
    <x v="4"/>
    <s v="Current Employees"/>
    <x v="1"/>
    <x v="0"/>
    <s v="STAFF-888"/>
    <n v="888"/>
    <x v="1"/>
    <x v="2"/>
    <x v="1"/>
    <s v="No"/>
    <s v="Y"/>
    <n v="2"/>
    <n v="-2"/>
    <n v="0"/>
    <n v="24"/>
    <n v="0"/>
    <m/>
    <n v="0"/>
    <n v="1"/>
    <n v="1269"/>
    <n v="4"/>
    <x v="1"/>
    <n v="1"/>
    <n v="1"/>
    <n v="46"/>
    <n v="2"/>
    <n v="1"/>
    <n v="1"/>
    <n v="3162"/>
    <n v="10778"/>
    <n v="0"/>
    <n v="17"/>
    <n v="3"/>
    <n v="4"/>
    <n v="80"/>
    <n v="0"/>
    <n v="6"/>
    <n v="2"/>
    <n v="5"/>
    <n v="2"/>
    <n v="3"/>
    <n v="4"/>
  </r>
  <r>
    <x v="1"/>
    <s v="Travel_Frequently"/>
    <x v="2"/>
    <s v="Current Employees"/>
    <x v="0"/>
    <x v="0"/>
    <s v="STAFF-889"/>
    <n v="889"/>
    <x v="1"/>
    <x v="0"/>
    <x v="1"/>
    <s v="No"/>
    <s v="Y"/>
    <n v="3"/>
    <n v="-2"/>
    <n v="0"/>
    <n v="32"/>
    <n v="0"/>
    <m/>
    <n v="0"/>
    <n v="1"/>
    <n v="379"/>
    <n v="5"/>
    <x v="0"/>
    <n v="1"/>
    <n v="2"/>
    <n v="48"/>
    <n v="3"/>
    <n v="2"/>
    <n v="1"/>
    <n v="6524"/>
    <n v="8891"/>
    <n v="1"/>
    <n v="14"/>
    <n v="3"/>
    <n v="4"/>
    <n v="80"/>
    <n v="1"/>
    <n v="10"/>
    <n v="3"/>
    <n v="10"/>
    <n v="8"/>
    <n v="5"/>
    <n v="3"/>
  </r>
  <r>
    <x v="1"/>
    <s v="Travel_Rarely"/>
    <x v="0"/>
    <s v="Current Employees"/>
    <x v="0"/>
    <x v="3"/>
    <s v="STAFF-893"/>
    <n v="893"/>
    <x v="1"/>
    <x v="6"/>
    <x v="1"/>
    <s v="No"/>
    <s v="Y"/>
    <n v="3"/>
    <n v="-2"/>
    <n v="0"/>
    <n v="38"/>
    <n v="0"/>
    <m/>
    <n v="0"/>
    <n v="1"/>
    <n v="395"/>
    <n v="9"/>
    <x v="3"/>
    <n v="1"/>
    <n v="2"/>
    <n v="98"/>
    <n v="2"/>
    <n v="1"/>
    <n v="2"/>
    <n v="2899"/>
    <n v="12102"/>
    <n v="0"/>
    <n v="19"/>
    <n v="3"/>
    <n v="4"/>
    <n v="80"/>
    <n v="1"/>
    <n v="3"/>
    <n v="3"/>
    <n v="2"/>
    <n v="2"/>
    <n v="1"/>
    <n v="2"/>
  </r>
  <r>
    <x v="1"/>
    <s v="Travel_Rarely"/>
    <x v="0"/>
    <s v="Current Employees"/>
    <x v="1"/>
    <x v="0"/>
    <s v="STAFF-894"/>
    <n v="894"/>
    <x v="0"/>
    <x v="2"/>
    <x v="1"/>
    <s v="Yes"/>
    <s v="Y"/>
    <n v="1"/>
    <n v="-2"/>
    <n v="0"/>
    <n v="42"/>
    <n v="0"/>
    <m/>
    <n v="0"/>
    <n v="1"/>
    <n v="1265"/>
    <n v="3"/>
    <x v="3"/>
    <n v="1"/>
    <n v="3"/>
    <n v="95"/>
    <n v="4"/>
    <n v="2"/>
    <n v="1"/>
    <n v="5231"/>
    <n v="23726"/>
    <n v="2"/>
    <n v="13"/>
    <n v="3"/>
    <n v="2"/>
    <n v="80"/>
    <n v="1"/>
    <n v="17"/>
    <n v="2"/>
    <n v="5"/>
    <n v="3"/>
    <n v="1"/>
    <n v="3"/>
  </r>
  <r>
    <x v="1"/>
    <s v="Travel_Rarely"/>
    <x v="2"/>
    <s v="Current Employees"/>
    <x v="1"/>
    <x v="0"/>
    <s v="STAFF-895"/>
    <n v="895"/>
    <x v="1"/>
    <x v="1"/>
    <x v="1"/>
    <s v="Yes"/>
    <s v="Y"/>
    <n v="2"/>
    <n v="-2"/>
    <n v="0"/>
    <n v="31"/>
    <n v="0"/>
    <m/>
    <n v="0"/>
    <n v="1"/>
    <n v="1222"/>
    <n v="11"/>
    <x v="2"/>
    <n v="1"/>
    <n v="4"/>
    <n v="48"/>
    <n v="3"/>
    <n v="1"/>
    <n v="1"/>
    <n v="2356"/>
    <n v="14871"/>
    <n v="3"/>
    <n v="19"/>
    <n v="3"/>
    <n v="2"/>
    <n v="80"/>
    <n v="1"/>
    <n v="8"/>
    <n v="3"/>
    <n v="6"/>
    <n v="4"/>
    <n v="0"/>
    <n v="2"/>
  </r>
  <r>
    <x v="0"/>
    <s v="Travel_Rarely"/>
    <x v="2"/>
    <s v="Ex-Employees"/>
    <x v="0"/>
    <x v="2"/>
    <s v="STAFF-896"/>
    <n v="896"/>
    <x v="0"/>
    <x v="6"/>
    <x v="2"/>
    <s v="Yes"/>
    <s v="Y"/>
    <n v="3"/>
    <n v="-2"/>
    <n v="0"/>
    <n v="29"/>
    <n v="1"/>
    <n v="1"/>
    <n v="1"/>
    <n v="0"/>
    <n v="341"/>
    <n v="1"/>
    <x v="3"/>
    <n v="1"/>
    <n v="2"/>
    <n v="48"/>
    <n v="2"/>
    <n v="1"/>
    <n v="3"/>
    <n v="2800"/>
    <n v="23522"/>
    <n v="6"/>
    <n v="19"/>
    <n v="3"/>
    <n v="3"/>
    <n v="80"/>
    <n v="3"/>
    <n v="5"/>
    <n v="3"/>
    <n v="3"/>
    <n v="2"/>
    <n v="0"/>
    <n v="2"/>
  </r>
  <r>
    <x v="1"/>
    <s v="Travel_Rarely"/>
    <x v="1"/>
    <s v="Current Employees"/>
    <x v="0"/>
    <x v="3"/>
    <s v="STAFF-897"/>
    <n v="897"/>
    <x v="1"/>
    <x v="0"/>
    <x v="1"/>
    <s v="No"/>
    <s v="Y"/>
    <n v="3"/>
    <n v="-2"/>
    <n v="0"/>
    <n v="53"/>
    <n v="0"/>
    <m/>
    <n v="0"/>
    <n v="1"/>
    <n v="868"/>
    <n v="8"/>
    <x v="3"/>
    <n v="1"/>
    <n v="1"/>
    <n v="73"/>
    <n v="3"/>
    <n v="4"/>
    <n v="2"/>
    <n v="11836"/>
    <n v="22789"/>
    <n v="5"/>
    <n v="14"/>
    <n v="3"/>
    <n v="3"/>
    <n v="80"/>
    <n v="1"/>
    <n v="28"/>
    <n v="3"/>
    <n v="2"/>
    <n v="0"/>
    <n v="2"/>
    <n v="2"/>
  </r>
  <r>
    <x v="1"/>
    <s v="Travel_Rarely"/>
    <x v="0"/>
    <s v="Current Employees"/>
    <x v="1"/>
    <x v="4"/>
    <s v="STAFF-899"/>
    <n v="899"/>
    <x v="1"/>
    <x v="3"/>
    <x v="1"/>
    <s v="No"/>
    <s v="Y"/>
    <n v="2"/>
    <n v="-2"/>
    <n v="0"/>
    <n v="35"/>
    <n v="0"/>
    <m/>
    <n v="0"/>
    <n v="1"/>
    <n v="672"/>
    <n v="25"/>
    <x v="3"/>
    <n v="1"/>
    <n v="4"/>
    <n v="78"/>
    <n v="2"/>
    <n v="3"/>
    <n v="4"/>
    <n v="10903"/>
    <n v="9129"/>
    <n v="3"/>
    <n v="16"/>
    <n v="3"/>
    <n v="1"/>
    <n v="80"/>
    <n v="0"/>
    <n v="16"/>
    <n v="3"/>
    <n v="13"/>
    <n v="10"/>
    <n v="4"/>
    <n v="8"/>
  </r>
  <r>
    <x v="1"/>
    <s v="Travel_Frequently"/>
    <x v="0"/>
    <s v="Current Employees"/>
    <x v="0"/>
    <x v="2"/>
    <s v="STAFF-900"/>
    <n v="900"/>
    <x v="0"/>
    <x v="6"/>
    <x v="1"/>
    <s v="No"/>
    <s v="Y"/>
    <n v="3"/>
    <n v="-2"/>
    <n v="0"/>
    <n v="37"/>
    <n v="0"/>
    <m/>
    <n v="0"/>
    <n v="1"/>
    <n v="1231"/>
    <n v="21"/>
    <x v="0"/>
    <n v="1"/>
    <n v="3"/>
    <n v="54"/>
    <n v="3"/>
    <n v="1"/>
    <n v="4"/>
    <n v="2973"/>
    <n v="21222"/>
    <n v="5"/>
    <n v="15"/>
    <n v="3"/>
    <n v="2"/>
    <n v="80"/>
    <n v="1"/>
    <n v="10"/>
    <n v="3"/>
    <n v="5"/>
    <n v="4"/>
    <n v="0"/>
    <n v="0"/>
  </r>
  <r>
    <x v="1"/>
    <s v="Travel_Rarely"/>
    <x v="1"/>
    <s v="Current Employees"/>
    <x v="1"/>
    <x v="0"/>
    <s v="STAFF-901"/>
    <n v="901"/>
    <x v="0"/>
    <x v="7"/>
    <x v="0"/>
    <s v="No"/>
    <s v="Y"/>
    <n v="0"/>
    <n v="-2"/>
    <n v="0"/>
    <n v="53"/>
    <n v="0"/>
    <m/>
    <n v="0"/>
    <n v="1"/>
    <n v="102"/>
    <n v="23"/>
    <x v="2"/>
    <n v="1"/>
    <n v="4"/>
    <n v="72"/>
    <n v="3"/>
    <n v="4"/>
    <n v="1"/>
    <n v="14275"/>
    <n v="20206"/>
    <n v="6"/>
    <n v="18"/>
    <n v="3"/>
    <n v="3"/>
    <n v="80"/>
    <n v="0"/>
    <n v="33"/>
    <n v="3"/>
    <n v="12"/>
    <n v="9"/>
    <n v="3"/>
    <n v="8"/>
  </r>
  <r>
    <x v="1"/>
    <s v="Travel_Frequently"/>
    <x v="0"/>
    <s v="Current Employees"/>
    <x v="1"/>
    <x v="0"/>
    <s v="STAFF-902"/>
    <n v="902"/>
    <x v="0"/>
    <x v="4"/>
    <x v="1"/>
    <s v="No"/>
    <s v="Y"/>
    <n v="2"/>
    <n v="-2"/>
    <n v="0"/>
    <n v="43"/>
    <n v="0"/>
    <m/>
    <n v="0"/>
    <n v="1"/>
    <n v="422"/>
    <n v="1"/>
    <x v="3"/>
    <n v="1"/>
    <n v="4"/>
    <n v="33"/>
    <n v="3"/>
    <n v="2"/>
    <n v="1"/>
    <n v="5562"/>
    <n v="21782"/>
    <n v="4"/>
    <n v="13"/>
    <n v="3"/>
    <n v="2"/>
    <n v="80"/>
    <n v="1"/>
    <n v="12"/>
    <n v="2"/>
    <n v="5"/>
    <n v="2"/>
    <n v="2"/>
    <n v="2"/>
  </r>
  <r>
    <x v="1"/>
    <s v="Travel_Rarely"/>
    <x v="1"/>
    <s v="Current Employees"/>
    <x v="0"/>
    <x v="3"/>
    <s v="STAFF-903"/>
    <n v="903"/>
    <x v="0"/>
    <x v="0"/>
    <x v="1"/>
    <s v="Yes"/>
    <s v="Y"/>
    <n v="2"/>
    <n v="-2"/>
    <n v="0"/>
    <n v="47"/>
    <n v="0"/>
    <m/>
    <n v="0"/>
    <n v="1"/>
    <n v="249"/>
    <n v="2"/>
    <x v="0"/>
    <n v="1"/>
    <n v="3"/>
    <n v="35"/>
    <n v="3"/>
    <n v="2"/>
    <n v="2"/>
    <n v="4537"/>
    <n v="17783"/>
    <n v="0"/>
    <n v="22"/>
    <n v="4"/>
    <n v="1"/>
    <n v="80"/>
    <n v="1"/>
    <n v="8"/>
    <n v="3"/>
    <n v="7"/>
    <n v="6"/>
    <n v="7"/>
    <n v="7"/>
  </r>
  <r>
    <x v="1"/>
    <s v="Non-Travel"/>
    <x v="0"/>
    <s v="Current Employees"/>
    <x v="0"/>
    <x v="2"/>
    <s v="STAFF-904"/>
    <n v="904"/>
    <x v="1"/>
    <x v="0"/>
    <x v="0"/>
    <s v="Yes"/>
    <s v="Y"/>
    <n v="2"/>
    <n v="-2"/>
    <n v="0"/>
    <n v="37"/>
    <n v="0"/>
    <m/>
    <n v="0"/>
    <n v="1"/>
    <n v="1252"/>
    <n v="19"/>
    <x v="0"/>
    <n v="1"/>
    <n v="1"/>
    <n v="32"/>
    <n v="3"/>
    <n v="3"/>
    <n v="3"/>
    <n v="7642"/>
    <n v="4814"/>
    <n v="1"/>
    <n v="13"/>
    <n v="3"/>
    <n v="4"/>
    <n v="80"/>
    <n v="0"/>
    <n v="10"/>
    <n v="3"/>
    <n v="10"/>
    <n v="0"/>
    <n v="0"/>
    <n v="9"/>
  </r>
  <r>
    <x v="1"/>
    <s v="Non-Travel"/>
    <x v="1"/>
    <s v="Current Employees"/>
    <x v="1"/>
    <x v="0"/>
    <s v="STAFF-905"/>
    <n v="905"/>
    <x v="1"/>
    <x v="5"/>
    <x v="2"/>
    <s v="No"/>
    <s v="Y"/>
    <n v="3"/>
    <n v="-2"/>
    <n v="0"/>
    <n v="50"/>
    <n v="0"/>
    <m/>
    <n v="0"/>
    <n v="1"/>
    <n v="881"/>
    <n v="2"/>
    <x v="2"/>
    <n v="1"/>
    <n v="1"/>
    <n v="98"/>
    <n v="3"/>
    <n v="4"/>
    <n v="1"/>
    <n v="17924"/>
    <n v="4544"/>
    <n v="1"/>
    <n v="11"/>
    <n v="3"/>
    <n v="4"/>
    <n v="80"/>
    <n v="1"/>
    <n v="31"/>
    <n v="3"/>
    <n v="31"/>
    <n v="6"/>
    <n v="14"/>
    <n v="7"/>
  </r>
  <r>
    <x v="1"/>
    <s v="Travel_Rarely"/>
    <x v="0"/>
    <s v="Current Employees"/>
    <x v="2"/>
    <x v="0"/>
    <s v="STAFF-909"/>
    <n v="909"/>
    <x v="0"/>
    <x v="8"/>
    <x v="1"/>
    <s v="No"/>
    <s v="Y"/>
    <n v="2"/>
    <n v="-2"/>
    <n v="0"/>
    <n v="39"/>
    <n v="0"/>
    <m/>
    <n v="0"/>
    <n v="1"/>
    <n v="1383"/>
    <n v="2"/>
    <x v="3"/>
    <n v="1"/>
    <n v="4"/>
    <n v="42"/>
    <n v="2"/>
    <n v="2"/>
    <n v="1"/>
    <n v="5204"/>
    <n v="7790"/>
    <n v="8"/>
    <n v="11"/>
    <n v="3"/>
    <n v="3"/>
    <n v="80"/>
    <n v="2"/>
    <n v="13"/>
    <n v="3"/>
    <n v="5"/>
    <n v="4"/>
    <n v="0"/>
    <n v="4"/>
  </r>
  <r>
    <x v="1"/>
    <s v="Travel_Rarely"/>
    <x v="2"/>
    <s v="Current Employees"/>
    <x v="2"/>
    <x v="5"/>
    <s v="STAFF-910"/>
    <n v="910"/>
    <x v="1"/>
    <x v="8"/>
    <x v="2"/>
    <s v="Yes"/>
    <s v="Y"/>
    <n v="4"/>
    <n v="-2"/>
    <n v="0"/>
    <n v="33"/>
    <n v="0"/>
    <m/>
    <n v="0"/>
    <n v="1"/>
    <n v="1075"/>
    <n v="3"/>
    <x v="0"/>
    <n v="1"/>
    <n v="4"/>
    <n v="57"/>
    <n v="3"/>
    <n v="1"/>
    <n v="3"/>
    <n v="2277"/>
    <n v="22650"/>
    <n v="3"/>
    <n v="11"/>
    <n v="3"/>
    <n v="3"/>
    <n v="80"/>
    <n v="1"/>
    <n v="7"/>
    <n v="4"/>
    <n v="4"/>
    <n v="3"/>
    <n v="0"/>
    <n v="3"/>
  </r>
  <r>
    <x v="0"/>
    <s v="Travel_Rarely"/>
    <x v="2"/>
    <s v="Ex-Employees"/>
    <x v="1"/>
    <x v="0"/>
    <s v="STAFF-911"/>
    <n v="911"/>
    <x v="1"/>
    <x v="2"/>
    <x v="0"/>
    <s v="Yes"/>
    <s v="Y"/>
    <n v="2"/>
    <n v="-2"/>
    <n v="0"/>
    <n v="32"/>
    <n v="1"/>
    <n v="1"/>
    <n v="1"/>
    <n v="0"/>
    <n v="374"/>
    <n v="25"/>
    <x v="2"/>
    <n v="1"/>
    <n v="1"/>
    <n v="87"/>
    <n v="3"/>
    <n v="1"/>
    <n v="1"/>
    <n v="2795"/>
    <n v="18016"/>
    <n v="1"/>
    <n v="24"/>
    <n v="4"/>
    <n v="3"/>
    <n v="80"/>
    <n v="0"/>
    <n v="1"/>
    <n v="1"/>
    <n v="1"/>
    <n v="0"/>
    <n v="0"/>
    <n v="1"/>
  </r>
  <r>
    <x v="1"/>
    <s v="Travel_Rarely"/>
    <x v="2"/>
    <s v="Current Employees"/>
    <x v="1"/>
    <x v="2"/>
    <s v="STAFF-912"/>
    <n v="912"/>
    <x v="0"/>
    <x v="2"/>
    <x v="2"/>
    <s v="No"/>
    <s v="Y"/>
    <n v="5"/>
    <n v="-2"/>
    <n v="0"/>
    <n v="29"/>
    <n v="0"/>
    <m/>
    <n v="0"/>
    <n v="1"/>
    <n v="1086"/>
    <n v="7"/>
    <x v="1"/>
    <n v="1"/>
    <n v="1"/>
    <n v="62"/>
    <n v="2"/>
    <n v="1"/>
    <n v="4"/>
    <n v="2532"/>
    <n v="6054"/>
    <n v="6"/>
    <n v="14"/>
    <n v="3"/>
    <n v="3"/>
    <n v="80"/>
    <n v="3"/>
    <n v="8"/>
    <n v="3"/>
    <n v="4"/>
    <n v="3"/>
    <n v="0"/>
    <n v="3"/>
  </r>
  <r>
    <x v="1"/>
    <s v="Travel_Rarely"/>
    <x v="0"/>
    <s v="Current Employees"/>
    <x v="1"/>
    <x v="0"/>
    <s v="STAFF-913"/>
    <n v="913"/>
    <x v="1"/>
    <x v="1"/>
    <x v="1"/>
    <s v="Yes"/>
    <s v="Y"/>
    <n v="0"/>
    <n v="-2"/>
    <n v="0"/>
    <n v="44"/>
    <n v="0"/>
    <m/>
    <n v="0"/>
    <n v="1"/>
    <n v="661"/>
    <n v="9"/>
    <x v="0"/>
    <n v="1"/>
    <n v="2"/>
    <n v="61"/>
    <n v="3"/>
    <n v="1"/>
    <n v="1"/>
    <n v="2559"/>
    <n v="7508"/>
    <n v="1"/>
    <n v="13"/>
    <n v="3"/>
    <n v="4"/>
    <n v="80"/>
    <n v="0"/>
    <n v="8"/>
    <n v="3"/>
    <n v="8"/>
    <n v="7"/>
    <n v="7"/>
    <n v="1"/>
  </r>
  <r>
    <x v="1"/>
    <s v="Travel_Rarely"/>
    <x v="2"/>
    <s v="Current Employees"/>
    <x v="0"/>
    <x v="2"/>
    <s v="STAFF-916"/>
    <n v="916"/>
    <x v="1"/>
    <x v="0"/>
    <x v="0"/>
    <s v="No"/>
    <s v="Y"/>
    <n v="3"/>
    <n v="-2"/>
    <n v="0"/>
    <n v="28"/>
    <n v="0"/>
    <m/>
    <n v="0"/>
    <n v="1"/>
    <n v="821"/>
    <n v="5"/>
    <x v="2"/>
    <n v="1"/>
    <n v="1"/>
    <n v="98"/>
    <n v="3"/>
    <n v="2"/>
    <n v="4"/>
    <n v="4908"/>
    <n v="24252"/>
    <n v="1"/>
    <n v="14"/>
    <n v="3"/>
    <n v="2"/>
    <n v="80"/>
    <n v="0"/>
    <n v="4"/>
    <n v="3"/>
    <n v="4"/>
    <n v="2"/>
    <n v="0"/>
    <n v="2"/>
  </r>
  <r>
    <x v="0"/>
    <s v="Travel_Frequently"/>
    <x v="3"/>
    <s v="Ex-Employees"/>
    <x v="1"/>
    <x v="0"/>
    <s v="STAFF-918"/>
    <n v="918"/>
    <x v="1"/>
    <x v="2"/>
    <x v="2"/>
    <s v="Yes"/>
    <s v="Y"/>
    <n v="3"/>
    <n v="-2"/>
    <n v="0"/>
    <n v="58"/>
    <n v="1"/>
    <n v="1"/>
    <n v="1"/>
    <n v="0"/>
    <n v="781"/>
    <n v="2"/>
    <x v="1"/>
    <n v="1"/>
    <n v="4"/>
    <n v="57"/>
    <n v="2"/>
    <n v="1"/>
    <n v="1"/>
    <n v="2380"/>
    <n v="13384"/>
    <n v="9"/>
    <n v="14"/>
    <n v="3"/>
    <n v="4"/>
    <n v="80"/>
    <n v="1"/>
    <n v="3"/>
    <n v="2"/>
    <n v="1"/>
    <n v="0"/>
    <n v="0"/>
    <n v="0"/>
  </r>
  <r>
    <x v="1"/>
    <s v="Travel_Rarely"/>
    <x v="0"/>
    <s v="Current Employees"/>
    <x v="1"/>
    <x v="0"/>
    <s v="STAFF-920"/>
    <n v="920"/>
    <x v="0"/>
    <x v="3"/>
    <x v="2"/>
    <s v="No"/>
    <s v="Y"/>
    <n v="2"/>
    <n v="-2"/>
    <n v="0"/>
    <n v="43"/>
    <n v="0"/>
    <m/>
    <n v="0"/>
    <n v="1"/>
    <n v="177"/>
    <n v="8"/>
    <x v="3"/>
    <n v="1"/>
    <n v="1"/>
    <n v="55"/>
    <n v="3"/>
    <n v="2"/>
    <n v="1"/>
    <n v="4765"/>
    <n v="23814"/>
    <n v="4"/>
    <n v="21"/>
    <n v="4"/>
    <n v="3"/>
    <n v="80"/>
    <n v="1"/>
    <n v="4"/>
    <n v="4"/>
    <n v="1"/>
    <n v="0"/>
    <n v="0"/>
    <n v="0"/>
  </r>
  <r>
    <x v="0"/>
    <s v="Travel_Rarely"/>
    <x v="4"/>
    <s v="Ex-Employees"/>
    <x v="0"/>
    <x v="2"/>
    <s v="STAFF-922"/>
    <n v="922"/>
    <x v="0"/>
    <x v="6"/>
    <x v="0"/>
    <s v="No"/>
    <s v="Y"/>
    <n v="3"/>
    <n v="-2"/>
    <n v="0"/>
    <n v="20"/>
    <n v="1"/>
    <n v="1"/>
    <n v="1"/>
    <n v="0"/>
    <n v="500"/>
    <n v="2"/>
    <x v="3"/>
    <n v="1"/>
    <n v="3"/>
    <n v="49"/>
    <n v="2"/>
    <n v="1"/>
    <n v="3"/>
    <n v="2044"/>
    <n v="22052"/>
    <n v="1"/>
    <n v="13"/>
    <n v="3"/>
    <n v="4"/>
    <n v="80"/>
    <n v="0"/>
    <n v="2"/>
    <n v="2"/>
    <n v="2"/>
    <n v="2"/>
    <n v="0"/>
    <n v="2"/>
  </r>
  <r>
    <x v="0"/>
    <s v="Travel_Rarely"/>
    <x v="4"/>
    <s v="Ex-Employees"/>
    <x v="1"/>
    <x v="1"/>
    <s v="STAFF-923"/>
    <n v="923"/>
    <x v="0"/>
    <x v="1"/>
    <x v="0"/>
    <s v="No"/>
    <s v="Y"/>
    <n v="3"/>
    <n v="-2"/>
    <n v="0"/>
    <n v="21"/>
    <n v="1"/>
    <n v="1"/>
    <n v="1"/>
    <n v="0"/>
    <n v="1427"/>
    <n v="18"/>
    <x v="1"/>
    <n v="1"/>
    <n v="4"/>
    <n v="65"/>
    <n v="3"/>
    <n v="1"/>
    <n v="4"/>
    <n v="2693"/>
    <n v="8870"/>
    <n v="1"/>
    <n v="19"/>
    <n v="3"/>
    <n v="1"/>
    <n v="80"/>
    <n v="0"/>
    <n v="1"/>
    <n v="2"/>
    <n v="1"/>
    <n v="0"/>
    <n v="0"/>
    <n v="0"/>
  </r>
  <r>
    <x v="1"/>
    <s v="Travel_Rarely"/>
    <x v="0"/>
    <s v="Current Employees"/>
    <x v="1"/>
    <x v="0"/>
    <s v="STAFF-924"/>
    <n v="924"/>
    <x v="1"/>
    <x v="4"/>
    <x v="1"/>
    <s v="Yes"/>
    <s v="Y"/>
    <n v="2"/>
    <n v="-2"/>
    <n v="0"/>
    <n v="36"/>
    <n v="0"/>
    <m/>
    <n v="0"/>
    <n v="1"/>
    <n v="1425"/>
    <n v="14"/>
    <x v="1"/>
    <n v="1"/>
    <n v="3"/>
    <n v="68"/>
    <n v="3"/>
    <n v="2"/>
    <n v="1"/>
    <n v="6586"/>
    <n v="4821"/>
    <n v="0"/>
    <n v="17"/>
    <n v="3"/>
    <n v="1"/>
    <n v="80"/>
    <n v="1"/>
    <n v="17"/>
    <n v="2"/>
    <n v="16"/>
    <n v="8"/>
    <n v="4"/>
    <n v="11"/>
  </r>
  <r>
    <x v="1"/>
    <s v="Travel_Rarely"/>
    <x v="1"/>
    <s v="Current Employees"/>
    <x v="0"/>
    <x v="0"/>
    <s v="STAFF-925"/>
    <n v="925"/>
    <x v="0"/>
    <x v="6"/>
    <x v="0"/>
    <s v="Yes"/>
    <s v="Y"/>
    <n v="3"/>
    <n v="-2"/>
    <n v="0"/>
    <n v="47"/>
    <n v="0"/>
    <m/>
    <n v="0"/>
    <n v="1"/>
    <n v="1454"/>
    <n v="2"/>
    <x v="2"/>
    <n v="1"/>
    <n v="4"/>
    <n v="65"/>
    <n v="2"/>
    <n v="1"/>
    <n v="1"/>
    <n v="3294"/>
    <n v="13137"/>
    <n v="1"/>
    <n v="18"/>
    <n v="3"/>
    <n v="1"/>
    <n v="80"/>
    <n v="0"/>
    <n v="3"/>
    <n v="2"/>
    <n v="3"/>
    <n v="2"/>
    <n v="1"/>
    <n v="2"/>
  </r>
  <r>
    <x v="0"/>
    <s v="Travel_Rarely"/>
    <x v="4"/>
    <s v="Ex-Employees"/>
    <x v="1"/>
    <x v="0"/>
    <s v="STAFF-926"/>
    <n v="926"/>
    <x v="0"/>
    <x v="3"/>
    <x v="1"/>
    <s v="Yes"/>
    <s v="Y"/>
    <n v="3"/>
    <n v="-2"/>
    <n v="0"/>
    <n v="22"/>
    <n v="1"/>
    <n v="1"/>
    <n v="1"/>
    <n v="0"/>
    <n v="617"/>
    <n v="3"/>
    <x v="1"/>
    <n v="1"/>
    <n v="2"/>
    <n v="34"/>
    <n v="3"/>
    <n v="2"/>
    <n v="1"/>
    <n v="4171"/>
    <n v="10022"/>
    <n v="0"/>
    <n v="19"/>
    <n v="3"/>
    <n v="1"/>
    <n v="80"/>
    <n v="1"/>
    <n v="4"/>
    <n v="4"/>
    <n v="3"/>
    <n v="2"/>
    <n v="0"/>
    <n v="2"/>
  </r>
  <r>
    <x v="0"/>
    <s v="Travel_Rarely"/>
    <x v="0"/>
    <s v="Ex-Employees"/>
    <x v="1"/>
    <x v="0"/>
    <s v="STAFF-927"/>
    <n v="927"/>
    <x v="0"/>
    <x v="2"/>
    <x v="2"/>
    <s v="Yes"/>
    <s v="Y"/>
    <n v="1"/>
    <n v="-2"/>
    <n v="0"/>
    <n v="41"/>
    <n v="1"/>
    <n v="1"/>
    <n v="1"/>
    <n v="0"/>
    <n v="1085"/>
    <n v="2"/>
    <x v="2"/>
    <n v="1"/>
    <n v="2"/>
    <n v="57"/>
    <n v="1"/>
    <n v="1"/>
    <n v="1"/>
    <n v="2778"/>
    <n v="17725"/>
    <n v="4"/>
    <n v="13"/>
    <n v="3"/>
    <n v="3"/>
    <n v="80"/>
    <n v="1"/>
    <n v="10"/>
    <n v="2"/>
    <n v="7"/>
    <n v="7"/>
    <n v="1"/>
    <n v="0"/>
  </r>
  <r>
    <x v="1"/>
    <s v="Travel_Rarely"/>
    <x v="2"/>
    <s v="Current Employees"/>
    <x v="1"/>
    <x v="2"/>
    <s v="STAFF-930"/>
    <n v="930"/>
    <x v="0"/>
    <x v="1"/>
    <x v="2"/>
    <s v="No"/>
    <s v="Y"/>
    <n v="2"/>
    <n v="-2"/>
    <n v="0"/>
    <n v="28"/>
    <n v="0"/>
    <m/>
    <n v="0"/>
    <n v="1"/>
    <n v="995"/>
    <n v="9"/>
    <x v="3"/>
    <n v="1"/>
    <n v="3"/>
    <n v="77"/>
    <n v="3"/>
    <n v="1"/>
    <n v="3"/>
    <n v="2377"/>
    <n v="9834"/>
    <n v="5"/>
    <n v="18"/>
    <n v="3"/>
    <n v="2"/>
    <n v="80"/>
    <n v="1"/>
    <n v="6"/>
    <n v="3"/>
    <n v="2"/>
    <n v="2"/>
    <n v="2"/>
    <n v="2"/>
  </r>
  <r>
    <x v="0"/>
    <s v="Travel_Rarely"/>
    <x v="0"/>
    <s v="Ex-Employees"/>
    <x v="1"/>
    <x v="2"/>
    <s v="STAFF-932"/>
    <n v="932"/>
    <x v="1"/>
    <x v="2"/>
    <x v="1"/>
    <s v="Yes"/>
    <s v="Y"/>
    <n v="2"/>
    <n v="-2"/>
    <n v="0"/>
    <n v="39"/>
    <n v="1"/>
    <n v="1"/>
    <n v="1"/>
    <n v="0"/>
    <n v="1122"/>
    <n v="6"/>
    <x v="3"/>
    <n v="1"/>
    <n v="4"/>
    <n v="70"/>
    <n v="3"/>
    <n v="1"/>
    <n v="3"/>
    <n v="2404"/>
    <n v="4303"/>
    <n v="7"/>
    <n v="21"/>
    <n v="4"/>
    <n v="4"/>
    <n v="80"/>
    <n v="0"/>
    <n v="8"/>
    <n v="1"/>
    <n v="2"/>
    <n v="2"/>
    <n v="2"/>
    <n v="2"/>
  </r>
  <r>
    <x v="1"/>
    <s v="Travel_Rarely"/>
    <x v="2"/>
    <s v="Current Employees"/>
    <x v="1"/>
    <x v="0"/>
    <s v="STAFF-933"/>
    <n v="933"/>
    <x v="0"/>
    <x v="1"/>
    <x v="0"/>
    <s v="No"/>
    <s v="Y"/>
    <n v="2"/>
    <n v="-2"/>
    <n v="0"/>
    <n v="27"/>
    <n v="0"/>
    <m/>
    <n v="0"/>
    <n v="1"/>
    <n v="618"/>
    <n v="4"/>
    <x v="3"/>
    <n v="1"/>
    <n v="2"/>
    <n v="76"/>
    <n v="3"/>
    <n v="1"/>
    <n v="1"/>
    <n v="2318"/>
    <n v="17808"/>
    <n v="1"/>
    <n v="19"/>
    <n v="3"/>
    <n v="3"/>
    <n v="80"/>
    <n v="0"/>
    <n v="1"/>
    <n v="3"/>
    <n v="1"/>
    <n v="1"/>
    <n v="0"/>
    <n v="0"/>
  </r>
  <r>
    <x v="1"/>
    <s v="Travel_Rarely"/>
    <x v="2"/>
    <s v="Current Employees"/>
    <x v="1"/>
    <x v="0"/>
    <s v="STAFF-934"/>
    <n v="934"/>
    <x v="1"/>
    <x v="2"/>
    <x v="2"/>
    <s v="No"/>
    <s v="Y"/>
    <n v="3"/>
    <n v="-2"/>
    <n v="0"/>
    <n v="34"/>
    <n v="0"/>
    <m/>
    <n v="0"/>
    <n v="1"/>
    <n v="546"/>
    <n v="10"/>
    <x v="3"/>
    <n v="1"/>
    <n v="2"/>
    <n v="83"/>
    <n v="3"/>
    <n v="1"/>
    <n v="1"/>
    <n v="2008"/>
    <n v="6896"/>
    <n v="1"/>
    <n v="14"/>
    <n v="3"/>
    <n v="2"/>
    <n v="80"/>
    <n v="2"/>
    <n v="1"/>
    <n v="3"/>
    <n v="1"/>
    <n v="0"/>
    <n v="1"/>
    <n v="0"/>
  </r>
  <r>
    <x v="1"/>
    <s v="Travel_Rarely"/>
    <x v="0"/>
    <s v="Current Employees"/>
    <x v="0"/>
    <x v="2"/>
    <s v="STAFF-936"/>
    <n v="936"/>
    <x v="0"/>
    <x v="0"/>
    <x v="0"/>
    <s v="No"/>
    <s v="Y"/>
    <n v="6"/>
    <n v="-2"/>
    <n v="0"/>
    <n v="42"/>
    <n v="0"/>
    <m/>
    <n v="0"/>
    <n v="1"/>
    <n v="462"/>
    <n v="14"/>
    <x v="0"/>
    <n v="1"/>
    <n v="3"/>
    <n v="68"/>
    <n v="2"/>
    <n v="2"/>
    <n v="3"/>
    <n v="6244"/>
    <n v="7824"/>
    <n v="7"/>
    <n v="17"/>
    <n v="3"/>
    <n v="1"/>
    <n v="80"/>
    <n v="0"/>
    <n v="10"/>
    <n v="3"/>
    <n v="5"/>
    <n v="4"/>
    <n v="0"/>
    <n v="3"/>
  </r>
  <r>
    <x v="1"/>
    <s v="Travel_Rarely"/>
    <x v="2"/>
    <s v="Current Employees"/>
    <x v="1"/>
    <x v="1"/>
    <s v="STAFF-939"/>
    <n v="939"/>
    <x v="1"/>
    <x v="1"/>
    <x v="0"/>
    <s v="Yes"/>
    <s v="Y"/>
    <n v="1"/>
    <n v="-2"/>
    <n v="0"/>
    <n v="33"/>
    <n v="0"/>
    <m/>
    <n v="0"/>
    <n v="1"/>
    <n v="1198"/>
    <n v="1"/>
    <x v="2"/>
    <n v="1"/>
    <n v="3"/>
    <n v="100"/>
    <n v="2"/>
    <n v="1"/>
    <n v="3"/>
    <n v="2799"/>
    <n v="3339"/>
    <n v="3"/>
    <n v="11"/>
    <n v="3"/>
    <n v="2"/>
    <n v="80"/>
    <n v="0"/>
    <n v="6"/>
    <n v="3"/>
    <n v="3"/>
    <n v="2"/>
    <n v="0"/>
    <n v="2"/>
  </r>
  <r>
    <x v="1"/>
    <s v="Travel_Rarely"/>
    <x v="3"/>
    <s v="Current Employees"/>
    <x v="1"/>
    <x v="4"/>
    <s v="STAFF-940"/>
    <n v="940"/>
    <x v="0"/>
    <x v="4"/>
    <x v="2"/>
    <s v="Yes"/>
    <s v="Y"/>
    <n v="3"/>
    <n v="-2"/>
    <n v="0"/>
    <n v="58"/>
    <n v="0"/>
    <m/>
    <n v="0"/>
    <n v="1"/>
    <n v="1272"/>
    <n v="5"/>
    <x v="3"/>
    <n v="1"/>
    <n v="4"/>
    <n v="37"/>
    <n v="2"/>
    <n v="3"/>
    <n v="4"/>
    <n v="10552"/>
    <n v="9255"/>
    <n v="2"/>
    <n v="13"/>
    <n v="3"/>
    <n v="4"/>
    <n v="80"/>
    <n v="1"/>
    <n v="24"/>
    <n v="3"/>
    <n v="6"/>
    <n v="0"/>
    <n v="0"/>
    <n v="4"/>
  </r>
  <r>
    <x v="1"/>
    <s v="Travel_Rarely"/>
    <x v="2"/>
    <s v="Current Employees"/>
    <x v="0"/>
    <x v="0"/>
    <s v="STAFF-941"/>
    <n v="941"/>
    <x v="1"/>
    <x v="6"/>
    <x v="1"/>
    <s v="No"/>
    <s v="Y"/>
    <n v="2"/>
    <n v="-2"/>
    <n v="0"/>
    <n v="31"/>
    <n v="0"/>
    <m/>
    <n v="0"/>
    <n v="1"/>
    <n v="154"/>
    <n v="7"/>
    <x v="2"/>
    <n v="1"/>
    <n v="2"/>
    <n v="41"/>
    <n v="2"/>
    <n v="1"/>
    <n v="1"/>
    <n v="2329"/>
    <n v="11737"/>
    <n v="3"/>
    <n v="15"/>
    <n v="3"/>
    <n v="2"/>
    <n v="80"/>
    <n v="0"/>
    <n v="13"/>
    <n v="4"/>
    <n v="7"/>
    <n v="7"/>
    <n v="5"/>
    <n v="2"/>
  </r>
  <r>
    <x v="1"/>
    <s v="Travel_Rarely"/>
    <x v="0"/>
    <s v="Current Employees"/>
    <x v="1"/>
    <x v="0"/>
    <s v="STAFF-942"/>
    <n v="942"/>
    <x v="0"/>
    <x v="4"/>
    <x v="1"/>
    <s v="Yes"/>
    <s v="Y"/>
    <n v="2"/>
    <n v="-2"/>
    <n v="0"/>
    <n v="35"/>
    <n v="0"/>
    <m/>
    <n v="0"/>
    <n v="1"/>
    <n v="1137"/>
    <n v="21"/>
    <x v="1"/>
    <n v="1"/>
    <n v="4"/>
    <n v="51"/>
    <n v="3"/>
    <n v="2"/>
    <n v="1"/>
    <n v="4014"/>
    <n v="19170"/>
    <n v="1"/>
    <n v="25"/>
    <n v="4"/>
    <n v="4"/>
    <n v="80"/>
    <n v="1"/>
    <n v="10"/>
    <n v="1"/>
    <n v="10"/>
    <n v="6"/>
    <n v="0"/>
    <n v="7"/>
  </r>
  <r>
    <x v="1"/>
    <s v="Travel_Rarely"/>
    <x v="1"/>
    <s v="Current Employees"/>
    <x v="1"/>
    <x v="1"/>
    <s v="STAFF-944"/>
    <n v="944"/>
    <x v="0"/>
    <x v="2"/>
    <x v="1"/>
    <s v="No"/>
    <s v="Y"/>
    <n v="3"/>
    <n v="-2"/>
    <n v="0"/>
    <n v="49"/>
    <n v="0"/>
    <m/>
    <n v="0"/>
    <n v="1"/>
    <n v="527"/>
    <n v="8"/>
    <x v="0"/>
    <n v="1"/>
    <n v="1"/>
    <n v="51"/>
    <n v="3"/>
    <n v="3"/>
    <n v="3"/>
    <n v="7403"/>
    <n v="22477"/>
    <n v="4"/>
    <n v="11"/>
    <n v="3"/>
    <n v="3"/>
    <n v="80"/>
    <n v="1"/>
    <n v="29"/>
    <n v="2"/>
    <n v="26"/>
    <n v="9"/>
    <n v="1"/>
    <n v="7"/>
  </r>
  <r>
    <x v="1"/>
    <s v="Travel_Rarely"/>
    <x v="1"/>
    <s v="Current Employees"/>
    <x v="1"/>
    <x v="2"/>
    <s v="STAFF-945"/>
    <n v="945"/>
    <x v="1"/>
    <x v="1"/>
    <x v="1"/>
    <s v="No"/>
    <s v="Y"/>
    <n v="2"/>
    <n v="-2"/>
    <n v="0"/>
    <n v="48"/>
    <n v="0"/>
    <m/>
    <n v="0"/>
    <n v="1"/>
    <n v="1469"/>
    <n v="20"/>
    <x v="2"/>
    <n v="1"/>
    <n v="4"/>
    <n v="51"/>
    <n v="3"/>
    <n v="1"/>
    <n v="3"/>
    <n v="2259"/>
    <n v="5543"/>
    <n v="4"/>
    <n v="17"/>
    <n v="3"/>
    <n v="1"/>
    <n v="80"/>
    <n v="2"/>
    <n v="13"/>
    <n v="2"/>
    <n v="0"/>
    <n v="0"/>
    <n v="0"/>
    <n v="0"/>
  </r>
  <r>
    <x v="1"/>
    <s v="Non-Travel"/>
    <x v="2"/>
    <s v="Current Employees"/>
    <x v="0"/>
    <x v="3"/>
    <s v="STAFF-947"/>
    <n v="947"/>
    <x v="0"/>
    <x v="0"/>
    <x v="1"/>
    <s v="No"/>
    <s v="Y"/>
    <n v="2"/>
    <n v="-2"/>
    <n v="0"/>
    <n v="31"/>
    <n v="0"/>
    <m/>
    <n v="0"/>
    <n v="1"/>
    <n v="1188"/>
    <n v="20"/>
    <x v="0"/>
    <n v="1"/>
    <n v="4"/>
    <n v="45"/>
    <n v="3"/>
    <n v="2"/>
    <n v="2"/>
    <n v="6932"/>
    <n v="24406"/>
    <n v="1"/>
    <n v="13"/>
    <n v="3"/>
    <n v="4"/>
    <n v="80"/>
    <n v="1"/>
    <n v="9"/>
    <n v="2"/>
    <n v="9"/>
    <n v="8"/>
    <n v="0"/>
    <n v="0"/>
  </r>
  <r>
    <x v="1"/>
    <s v="Travel_Rarely"/>
    <x v="0"/>
    <s v="Current Employees"/>
    <x v="1"/>
    <x v="1"/>
    <s v="STAFF-949"/>
    <n v="949"/>
    <x v="1"/>
    <x v="1"/>
    <x v="0"/>
    <s v="No"/>
    <s v="Y"/>
    <n v="6"/>
    <n v="-2"/>
    <n v="0"/>
    <n v="36"/>
    <n v="0"/>
    <m/>
    <n v="0"/>
    <n v="1"/>
    <n v="188"/>
    <n v="7"/>
    <x v="2"/>
    <n v="1"/>
    <n v="2"/>
    <n v="65"/>
    <n v="3"/>
    <n v="1"/>
    <n v="4"/>
    <n v="4678"/>
    <n v="23293"/>
    <n v="2"/>
    <n v="18"/>
    <n v="3"/>
    <n v="3"/>
    <n v="80"/>
    <n v="0"/>
    <n v="8"/>
    <n v="3"/>
    <n v="6"/>
    <n v="2"/>
    <n v="0"/>
    <n v="1"/>
  </r>
  <r>
    <x v="1"/>
    <s v="Travel_Rarely"/>
    <x v="0"/>
    <s v="Current Employees"/>
    <x v="1"/>
    <x v="4"/>
    <s v="STAFF-950"/>
    <n v="950"/>
    <x v="0"/>
    <x v="7"/>
    <x v="1"/>
    <s v="No"/>
    <s v="Y"/>
    <n v="3"/>
    <n v="-2"/>
    <n v="0"/>
    <n v="38"/>
    <n v="0"/>
    <m/>
    <n v="0"/>
    <n v="1"/>
    <n v="1333"/>
    <n v="1"/>
    <x v="3"/>
    <n v="1"/>
    <n v="4"/>
    <n v="80"/>
    <n v="3"/>
    <n v="3"/>
    <n v="4"/>
    <n v="13582"/>
    <n v="16292"/>
    <n v="1"/>
    <n v="13"/>
    <n v="3"/>
    <n v="2"/>
    <n v="80"/>
    <n v="1"/>
    <n v="15"/>
    <n v="3"/>
    <n v="15"/>
    <n v="12"/>
    <n v="5"/>
    <n v="11"/>
  </r>
  <r>
    <x v="1"/>
    <s v="Non-Travel"/>
    <x v="2"/>
    <s v="Current Employees"/>
    <x v="1"/>
    <x v="0"/>
    <s v="STAFF-951"/>
    <n v="951"/>
    <x v="0"/>
    <x v="2"/>
    <x v="1"/>
    <s v="No"/>
    <s v="Y"/>
    <n v="3"/>
    <n v="-2"/>
    <n v="0"/>
    <n v="32"/>
    <n v="0"/>
    <m/>
    <n v="0"/>
    <n v="1"/>
    <n v="1184"/>
    <n v="1"/>
    <x v="3"/>
    <n v="1"/>
    <n v="3"/>
    <n v="70"/>
    <n v="2"/>
    <n v="1"/>
    <n v="1"/>
    <n v="2332"/>
    <n v="3974"/>
    <n v="6"/>
    <n v="20"/>
    <n v="4"/>
    <n v="3"/>
    <n v="80"/>
    <n v="0"/>
    <n v="5"/>
    <n v="3"/>
    <n v="3"/>
    <n v="0"/>
    <n v="0"/>
    <n v="2"/>
  </r>
  <r>
    <x v="0"/>
    <s v="Travel_Rarely"/>
    <x v="2"/>
    <s v="Ex-Employees"/>
    <x v="0"/>
    <x v="3"/>
    <s v="STAFF-952"/>
    <n v="952"/>
    <x v="1"/>
    <x v="6"/>
    <x v="1"/>
    <s v="Yes"/>
    <s v="Y"/>
    <n v="2"/>
    <n v="-2"/>
    <n v="0"/>
    <n v="25"/>
    <n v="1"/>
    <n v="1"/>
    <n v="1"/>
    <n v="0"/>
    <n v="867"/>
    <n v="19"/>
    <x v="0"/>
    <n v="1"/>
    <n v="3"/>
    <n v="36"/>
    <n v="2"/>
    <n v="1"/>
    <n v="2"/>
    <n v="2413"/>
    <n v="18798"/>
    <n v="1"/>
    <n v="18"/>
    <n v="3"/>
    <n v="3"/>
    <n v="80"/>
    <n v="3"/>
    <n v="1"/>
    <n v="3"/>
    <n v="1"/>
    <n v="0"/>
    <n v="0"/>
    <n v="0"/>
  </r>
  <r>
    <x v="1"/>
    <s v="Travel_Rarely"/>
    <x v="0"/>
    <s v="Current Employees"/>
    <x v="0"/>
    <x v="3"/>
    <s v="STAFF-954"/>
    <n v="954"/>
    <x v="1"/>
    <x v="0"/>
    <x v="2"/>
    <s v="No"/>
    <s v="Y"/>
    <n v="2"/>
    <n v="-2"/>
    <n v="0"/>
    <n v="40"/>
    <n v="0"/>
    <m/>
    <n v="0"/>
    <n v="1"/>
    <n v="658"/>
    <n v="10"/>
    <x v="2"/>
    <n v="1"/>
    <n v="1"/>
    <n v="67"/>
    <n v="2"/>
    <n v="3"/>
    <n v="2"/>
    <n v="9705"/>
    <n v="20652"/>
    <n v="2"/>
    <n v="12"/>
    <n v="3"/>
    <n v="2"/>
    <n v="80"/>
    <n v="1"/>
    <n v="11"/>
    <n v="2"/>
    <n v="1"/>
    <n v="0"/>
    <n v="0"/>
    <n v="0"/>
  </r>
  <r>
    <x v="1"/>
    <s v="Travel_Frequently"/>
    <x v="2"/>
    <s v="Current Employees"/>
    <x v="0"/>
    <x v="2"/>
    <s v="STAFF-956"/>
    <n v="956"/>
    <x v="1"/>
    <x v="0"/>
    <x v="0"/>
    <s v="No"/>
    <s v="Y"/>
    <n v="2"/>
    <n v="-2"/>
    <n v="0"/>
    <n v="26"/>
    <n v="0"/>
    <m/>
    <n v="0"/>
    <n v="1"/>
    <n v="1283"/>
    <n v="1"/>
    <x v="3"/>
    <n v="1"/>
    <n v="3"/>
    <n v="52"/>
    <n v="2"/>
    <n v="2"/>
    <n v="3"/>
    <n v="4294"/>
    <n v="11148"/>
    <n v="1"/>
    <n v="12"/>
    <n v="3"/>
    <n v="2"/>
    <n v="80"/>
    <n v="0"/>
    <n v="7"/>
    <n v="3"/>
    <n v="7"/>
    <n v="7"/>
    <n v="0"/>
    <n v="7"/>
  </r>
  <r>
    <x v="1"/>
    <s v="Travel_Rarely"/>
    <x v="0"/>
    <s v="Current Employees"/>
    <x v="1"/>
    <x v="2"/>
    <s v="STAFF-957"/>
    <n v="957"/>
    <x v="1"/>
    <x v="2"/>
    <x v="0"/>
    <s v="Yes"/>
    <s v="Y"/>
    <n v="3"/>
    <n v="-2"/>
    <n v="0"/>
    <n v="41"/>
    <n v="0"/>
    <m/>
    <n v="0"/>
    <n v="1"/>
    <n v="263"/>
    <n v="6"/>
    <x v="3"/>
    <n v="1"/>
    <n v="4"/>
    <n v="59"/>
    <n v="3"/>
    <n v="1"/>
    <n v="3"/>
    <n v="4721"/>
    <n v="3119"/>
    <n v="2"/>
    <n v="13"/>
    <n v="3"/>
    <n v="3"/>
    <n v="80"/>
    <n v="0"/>
    <n v="20"/>
    <n v="3"/>
    <n v="18"/>
    <n v="13"/>
    <n v="2"/>
    <n v="17"/>
  </r>
  <r>
    <x v="1"/>
    <s v="Travel_Rarely"/>
    <x v="0"/>
    <s v="Current Employees"/>
    <x v="1"/>
    <x v="2"/>
    <s v="STAFF-958"/>
    <n v="958"/>
    <x v="1"/>
    <x v="2"/>
    <x v="0"/>
    <s v="No"/>
    <s v="Y"/>
    <n v="6"/>
    <n v="-2"/>
    <n v="0"/>
    <n v="36"/>
    <n v="0"/>
    <m/>
    <n v="0"/>
    <n v="1"/>
    <n v="938"/>
    <n v="2"/>
    <x v="2"/>
    <n v="1"/>
    <n v="3"/>
    <n v="79"/>
    <n v="3"/>
    <n v="1"/>
    <n v="3"/>
    <n v="2519"/>
    <n v="12287"/>
    <n v="4"/>
    <n v="21"/>
    <n v="4"/>
    <n v="3"/>
    <n v="80"/>
    <n v="0"/>
    <n v="16"/>
    <n v="3"/>
    <n v="11"/>
    <n v="8"/>
    <n v="3"/>
    <n v="9"/>
  </r>
  <r>
    <x v="0"/>
    <s v="Travel_Rarely"/>
    <x v="4"/>
    <s v="Ex-Employees"/>
    <x v="0"/>
    <x v="1"/>
    <s v="STAFF-959"/>
    <n v="959"/>
    <x v="1"/>
    <x v="6"/>
    <x v="0"/>
    <s v="Yes"/>
    <s v="Y"/>
    <n v="3"/>
    <n v="-2"/>
    <n v="0"/>
    <n v="19"/>
    <n v="1"/>
    <n v="1"/>
    <n v="1"/>
    <n v="0"/>
    <n v="419"/>
    <n v="21"/>
    <x v="3"/>
    <n v="1"/>
    <n v="4"/>
    <n v="37"/>
    <n v="2"/>
    <n v="1"/>
    <n v="3"/>
    <n v="2121"/>
    <n v="9947"/>
    <n v="1"/>
    <n v="13"/>
    <n v="3"/>
    <n v="2"/>
    <n v="80"/>
    <n v="0"/>
    <n v="1"/>
    <n v="4"/>
    <n v="1"/>
    <n v="0"/>
    <n v="0"/>
    <n v="0"/>
  </r>
  <r>
    <x v="0"/>
    <s v="Travel_Rarely"/>
    <x v="4"/>
    <s v="Ex-Employees"/>
    <x v="1"/>
    <x v="4"/>
    <s v="STAFF-960"/>
    <n v="960"/>
    <x v="1"/>
    <x v="2"/>
    <x v="0"/>
    <s v="No"/>
    <s v="Y"/>
    <n v="2"/>
    <n v="-2"/>
    <n v="0"/>
    <n v="20"/>
    <n v="1"/>
    <n v="1"/>
    <n v="1"/>
    <n v="0"/>
    <n v="129"/>
    <n v="4"/>
    <x v="3"/>
    <n v="1"/>
    <n v="4"/>
    <n v="84"/>
    <n v="3"/>
    <n v="1"/>
    <n v="4"/>
    <n v="2973"/>
    <n v="13008"/>
    <n v="1"/>
    <n v="19"/>
    <n v="3"/>
    <n v="2"/>
    <n v="80"/>
    <n v="0"/>
    <n v="1"/>
    <n v="3"/>
    <n v="1"/>
    <n v="0"/>
    <n v="0"/>
    <n v="0"/>
  </r>
  <r>
    <x v="1"/>
    <s v="Travel_Rarely"/>
    <x v="2"/>
    <s v="Current Employees"/>
    <x v="1"/>
    <x v="2"/>
    <s v="STAFF-961"/>
    <n v="961"/>
    <x v="0"/>
    <x v="4"/>
    <x v="1"/>
    <s v="Yes"/>
    <s v="Y"/>
    <n v="2"/>
    <n v="-2"/>
    <n v="0"/>
    <n v="31"/>
    <n v="0"/>
    <m/>
    <n v="0"/>
    <n v="1"/>
    <n v="616"/>
    <n v="12"/>
    <x v="3"/>
    <n v="1"/>
    <n v="4"/>
    <n v="41"/>
    <n v="3"/>
    <n v="2"/>
    <n v="4"/>
    <n v="5855"/>
    <n v="17369"/>
    <n v="0"/>
    <n v="11"/>
    <n v="3"/>
    <n v="3"/>
    <n v="80"/>
    <n v="2"/>
    <n v="10"/>
    <n v="1"/>
    <n v="9"/>
    <n v="7"/>
    <n v="8"/>
    <n v="5"/>
  </r>
  <r>
    <x v="1"/>
    <s v="Travel_Frequently"/>
    <x v="0"/>
    <s v="Current Employees"/>
    <x v="1"/>
    <x v="2"/>
    <s v="STAFF-964"/>
    <n v="964"/>
    <x v="1"/>
    <x v="1"/>
    <x v="2"/>
    <s v="Yes"/>
    <s v="Y"/>
    <n v="2"/>
    <n v="-2"/>
    <n v="0"/>
    <n v="40"/>
    <n v="0"/>
    <m/>
    <n v="0"/>
    <n v="1"/>
    <n v="1469"/>
    <n v="9"/>
    <x v="2"/>
    <n v="1"/>
    <n v="4"/>
    <n v="35"/>
    <n v="3"/>
    <n v="1"/>
    <n v="3"/>
    <n v="3617"/>
    <n v="25063"/>
    <n v="8"/>
    <n v="14"/>
    <n v="3"/>
    <n v="4"/>
    <n v="80"/>
    <n v="1"/>
    <n v="3"/>
    <n v="3"/>
    <n v="1"/>
    <n v="1"/>
    <n v="0"/>
    <n v="0"/>
  </r>
  <r>
    <x v="1"/>
    <s v="Travel_Rarely"/>
    <x v="2"/>
    <s v="Current Employees"/>
    <x v="1"/>
    <x v="2"/>
    <s v="STAFF-966"/>
    <n v="966"/>
    <x v="0"/>
    <x v="3"/>
    <x v="1"/>
    <s v="No"/>
    <s v="Y"/>
    <n v="2"/>
    <n v="-2"/>
    <n v="0"/>
    <n v="32"/>
    <n v="0"/>
    <m/>
    <n v="0"/>
    <n v="1"/>
    <n v="498"/>
    <n v="3"/>
    <x v="2"/>
    <n v="1"/>
    <n v="3"/>
    <n v="93"/>
    <n v="3"/>
    <n v="2"/>
    <n v="3"/>
    <n v="6725"/>
    <n v="13554"/>
    <n v="1"/>
    <n v="12"/>
    <n v="3"/>
    <n v="3"/>
    <n v="80"/>
    <n v="1"/>
    <n v="8"/>
    <n v="4"/>
    <n v="8"/>
    <n v="7"/>
    <n v="6"/>
    <n v="3"/>
  </r>
  <r>
    <x v="0"/>
    <s v="Travel_Rarely"/>
    <x v="0"/>
    <s v="Ex-Employees"/>
    <x v="0"/>
    <x v="0"/>
    <s v="STAFF-967"/>
    <n v="967"/>
    <x v="1"/>
    <x v="0"/>
    <x v="1"/>
    <s v="Yes"/>
    <s v="Y"/>
    <n v="6"/>
    <n v="-2"/>
    <n v="0"/>
    <n v="36"/>
    <n v="1"/>
    <n v="1"/>
    <n v="1"/>
    <n v="0"/>
    <n v="530"/>
    <n v="3"/>
    <x v="1"/>
    <n v="1"/>
    <n v="3"/>
    <n v="51"/>
    <n v="2"/>
    <n v="3"/>
    <n v="1"/>
    <n v="10325"/>
    <n v="5518"/>
    <n v="1"/>
    <n v="11"/>
    <n v="3"/>
    <n v="1"/>
    <n v="80"/>
    <n v="1"/>
    <n v="16"/>
    <n v="3"/>
    <n v="16"/>
    <n v="7"/>
    <n v="3"/>
    <n v="7"/>
  </r>
  <r>
    <x v="1"/>
    <s v="Travel_Rarely"/>
    <x v="2"/>
    <s v="Current Employees"/>
    <x v="1"/>
    <x v="0"/>
    <s v="STAFF-969"/>
    <n v="969"/>
    <x v="0"/>
    <x v="4"/>
    <x v="0"/>
    <s v="No"/>
    <s v="Y"/>
    <n v="3"/>
    <n v="-2"/>
    <n v="0"/>
    <n v="33"/>
    <n v="0"/>
    <m/>
    <n v="0"/>
    <n v="1"/>
    <n v="1069"/>
    <n v="1"/>
    <x v="3"/>
    <n v="1"/>
    <n v="2"/>
    <n v="42"/>
    <n v="2"/>
    <n v="2"/>
    <n v="1"/>
    <n v="6949"/>
    <n v="12291"/>
    <n v="0"/>
    <n v="14"/>
    <n v="3"/>
    <n v="1"/>
    <n v="80"/>
    <n v="0"/>
    <n v="6"/>
    <n v="3"/>
    <n v="5"/>
    <n v="0"/>
    <n v="1"/>
    <n v="4"/>
  </r>
  <r>
    <x v="0"/>
    <s v="Travel_Rarely"/>
    <x v="0"/>
    <s v="Ex-Employees"/>
    <x v="0"/>
    <x v="0"/>
    <s v="STAFF-970"/>
    <n v="970"/>
    <x v="1"/>
    <x v="0"/>
    <x v="1"/>
    <s v="No"/>
    <s v="Y"/>
    <n v="2"/>
    <n v="-2"/>
    <n v="0"/>
    <n v="37"/>
    <n v="1"/>
    <n v="1"/>
    <n v="1"/>
    <n v="0"/>
    <n v="625"/>
    <n v="1"/>
    <x v="2"/>
    <n v="1"/>
    <n v="1"/>
    <n v="46"/>
    <n v="2"/>
    <n v="3"/>
    <n v="1"/>
    <n v="10609"/>
    <n v="14922"/>
    <n v="5"/>
    <n v="11"/>
    <n v="3"/>
    <n v="3"/>
    <n v="80"/>
    <n v="0"/>
    <n v="17"/>
    <n v="1"/>
    <n v="14"/>
    <n v="1"/>
    <n v="11"/>
    <n v="7"/>
  </r>
  <r>
    <x v="1"/>
    <s v="Non-Travel"/>
    <x v="1"/>
    <s v="Current Employees"/>
    <x v="1"/>
    <x v="0"/>
    <s v="STAFF-972"/>
    <n v="972"/>
    <x v="1"/>
    <x v="2"/>
    <x v="1"/>
    <s v="No"/>
    <s v="Y"/>
    <n v="5"/>
    <n v="-2"/>
    <n v="0"/>
    <n v="45"/>
    <n v="0"/>
    <m/>
    <n v="0"/>
    <n v="1"/>
    <n v="805"/>
    <n v="4"/>
    <x v="0"/>
    <n v="1"/>
    <n v="3"/>
    <n v="57"/>
    <n v="3"/>
    <n v="2"/>
    <n v="1"/>
    <n v="4447"/>
    <n v="23163"/>
    <n v="1"/>
    <n v="12"/>
    <n v="3"/>
    <n v="2"/>
    <n v="80"/>
    <n v="0"/>
    <n v="9"/>
    <n v="2"/>
    <n v="9"/>
    <n v="7"/>
    <n v="0"/>
    <n v="8"/>
  </r>
  <r>
    <x v="1"/>
    <s v="Travel_Frequently"/>
    <x v="2"/>
    <s v="Current Employees"/>
    <x v="0"/>
    <x v="4"/>
    <s v="STAFF-974"/>
    <n v="974"/>
    <x v="0"/>
    <x v="6"/>
    <x v="1"/>
    <s v="No"/>
    <s v="Y"/>
    <n v="5"/>
    <n v="-2"/>
    <n v="0"/>
    <n v="29"/>
    <n v="0"/>
    <m/>
    <n v="0"/>
    <n v="1"/>
    <n v="1404"/>
    <n v="20"/>
    <x v="3"/>
    <n v="1"/>
    <n v="4"/>
    <n v="84"/>
    <n v="3"/>
    <n v="1"/>
    <n v="4"/>
    <n v="2157"/>
    <n v="18203"/>
    <n v="1"/>
    <n v="15"/>
    <n v="3"/>
    <n v="2"/>
    <n v="80"/>
    <n v="1"/>
    <n v="3"/>
    <n v="3"/>
    <n v="3"/>
    <n v="1"/>
    <n v="0"/>
    <n v="2"/>
  </r>
  <r>
    <x v="1"/>
    <s v="Travel_Rarely"/>
    <x v="0"/>
    <s v="Current Employees"/>
    <x v="0"/>
    <x v="2"/>
    <s v="STAFF-975"/>
    <n v="975"/>
    <x v="0"/>
    <x v="0"/>
    <x v="1"/>
    <s v="No"/>
    <s v="Y"/>
    <n v="3"/>
    <n v="-2"/>
    <n v="0"/>
    <n v="35"/>
    <n v="0"/>
    <m/>
    <n v="0"/>
    <n v="1"/>
    <n v="1219"/>
    <n v="18"/>
    <x v="3"/>
    <n v="1"/>
    <n v="3"/>
    <n v="86"/>
    <n v="3"/>
    <n v="2"/>
    <n v="3"/>
    <n v="4601"/>
    <n v="6179"/>
    <n v="1"/>
    <n v="16"/>
    <n v="3"/>
    <n v="2"/>
    <n v="80"/>
    <n v="0"/>
    <n v="5"/>
    <n v="3"/>
    <n v="5"/>
    <n v="2"/>
    <n v="1"/>
    <n v="0"/>
  </r>
  <r>
    <x v="1"/>
    <s v="Travel_Rarely"/>
    <x v="1"/>
    <s v="Current Employees"/>
    <x v="1"/>
    <x v="0"/>
    <s v="STAFF-976"/>
    <n v="976"/>
    <x v="1"/>
    <x v="5"/>
    <x v="1"/>
    <s v="No"/>
    <s v="Y"/>
    <n v="2"/>
    <n v="-2"/>
    <n v="0"/>
    <n v="52"/>
    <n v="0"/>
    <m/>
    <n v="0"/>
    <n v="1"/>
    <n v="1053"/>
    <n v="1"/>
    <x v="0"/>
    <n v="1"/>
    <n v="4"/>
    <n v="70"/>
    <n v="3"/>
    <n v="4"/>
    <n v="1"/>
    <n v="17099"/>
    <n v="13829"/>
    <n v="2"/>
    <n v="15"/>
    <n v="3"/>
    <n v="2"/>
    <n v="80"/>
    <n v="1"/>
    <n v="26"/>
    <n v="2"/>
    <n v="9"/>
    <n v="8"/>
    <n v="7"/>
    <n v="8"/>
  </r>
  <r>
    <x v="0"/>
    <s v="Travel_Rarely"/>
    <x v="3"/>
    <s v="Ex-Employees"/>
    <x v="1"/>
    <x v="4"/>
    <s v="STAFF-977"/>
    <n v="977"/>
    <x v="1"/>
    <x v="1"/>
    <x v="0"/>
    <s v="No"/>
    <s v="Y"/>
    <n v="4"/>
    <n v="-2"/>
    <n v="0"/>
    <n v="58"/>
    <n v="1"/>
    <n v="1"/>
    <n v="1"/>
    <n v="0"/>
    <n v="289"/>
    <n v="2"/>
    <x v="3"/>
    <n v="1"/>
    <n v="4"/>
    <n v="51"/>
    <n v="3"/>
    <n v="1"/>
    <n v="4"/>
    <n v="2479"/>
    <n v="26227"/>
    <n v="4"/>
    <n v="24"/>
    <n v="4"/>
    <n v="1"/>
    <n v="80"/>
    <n v="0"/>
    <n v="7"/>
    <n v="3"/>
    <n v="1"/>
    <n v="0"/>
    <n v="0"/>
    <n v="0"/>
  </r>
  <r>
    <x v="1"/>
    <s v="Travel_Rarely"/>
    <x v="1"/>
    <s v="Current Employees"/>
    <x v="0"/>
    <x v="2"/>
    <s v="STAFF-981"/>
    <n v="981"/>
    <x v="1"/>
    <x v="5"/>
    <x v="2"/>
    <s v="No"/>
    <s v="Y"/>
    <n v="3"/>
    <n v="-2"/>
    <n v="0"/>
    <n v="53"/>
    <n v="0"/>
    <m/>
    <n v="0"/>
    <n v="1"/>
    <n v="1376"/>
    <n v="2"/>
    <x v="0"/>
    <n v="1"/>
    <n v="3"/>
    <n v="45"/>
    <n v="3"/>
    <n v="4"/>
    <n v="3"/>
    <n v="14852"/>
    <n v="13938"/>
    <n v="6"/>
    <n v="13"/>
    <n v="3"/>
    <n v="3"/>
    <n v="80"/>
    <n v="1"/>
    <n v="22"/>
    <n v="4"/>
    <n v="17"/>
    <n v="13"/>
    <n v="15"/>
    <n v="2"/>
  </r>
  <r>
    <x v="1"/>
    <s v="Travel_Rarely"/>
    <x v="2"/>
    <s v="Current Employees"/>
    <x v="0"/>
    <x v="1"/>
    <s v="STAFF-982"/>
    <n v="982"/>
    <x v="1"/>
    <x v="0"/>
    <x v="2"/>
    <s v="No"/>
    <s v="Y"/>
    <n v="2"/>
    <n v="-2"/>
    <n v="0"/>
    <n v="30"/>
    <n v="0"/>
    <m/>
    <n v="0"/>
    <n v="1"/>
    <n v="231"/>
    <n v="8"/>
    <x v="0"/>
    <n v="1"/>
    <n v="3"/>
    <n v="62"/>
    <n v="3"/>
    <n v="3"/>
    <n v="3"/>
    <n v="7264"/>
    <n v="9977"/>
    <n v="5"/>
    <n v="11"/>
    <n v="3"/>
    <n v="1"/>
    <n v="80"/>
    <n v="1"/>
    <n v="10"/>
    <n v="4"/>
    <n v="8"/>
    <n v="4"/>
    <n v="7"/>
    <n v="7"/>
  </r>
  <r>
    <x v="1"/>
    <s v="Non-Travel"/>
    <x v="0"/>
    <s v="Current Employees"/>
    <x v="0"/>
    <x v="4"/>
    <s v="STAFF-983"/>
    <n v="983"/>
    <x v="0"/>
    <x v="0"/>
    <x v="0"/>
    <s v="Yes"/>
    <s v="Y"/>
    <n v="1"/>
    <n v="-2"/>
    <n v="0"/>
    <n v="38"/>
    <n v="0"/>
    <m/>
    <n v="0"/>
    <n v="1"/>
    <n v="152"/>
    <n v="10"/>
    <x v="3"/>
    <n v="1"/>
    <n v="4"/>
    <n v="85"/>
    <n v="3"/>
    <n v="2"/>
    <n v="4"/>
    <n v="5666"/>
    <n v="19899"/>
    <n v="1"/>
    <n v="13"/>
    <n v="3"/>
    <n v="2"/>
    <n v="80"/>
    <n v="0"/>
    <n v="6"/>
    <n v="3"/>
    <n v="5"/>
    <n v="3"/>
    <n v="1"/>
    <n v="3"/>
  </r>
  <r>
    <x v="1"/>
    <s v="Travel_Rarely"/>
    <x v="0"/>
    <s v="Current Employees"/>
    <x v="0"/>
    <x v="0"/>
    <s v="STAFF-984"/>
    <n v="984"/>
    <x v="1"/>
    <x v="0"/>
    <x v="2"/>
    <s v="No"/>
    <s v="Y"/>
    <n v="2"/>
    <n v="-2"/>
    <n v="0"/>
    <n v="35"/>
    <n v="0"/>
    <m/>
    <n v="0"/>
    <n v="1"/>
    <n v="882"/>
    <n v="3"/>
    <x v="2"/>
    <n v="1"/>
    <n v="4"/>
    <n v="92"/>
    <n v="3"/>
    <n v="3"/>
    <n v="1"/>
    <n v="7823"/>
    <n v="6812"/>
    <n v="6"/>
    <n v="13"/>
    <n v="3"/>
    <n v="2"/>
    <n v="80"/>
    <n v="1"/>
    <n v="12"/>
    <n v="3"/>
    <n v="10"/>
    <n v="9"/>
    <n v="0"/>
    <n v="8"/>
  </r>
  <r>
    <x v="1"/>
    <s v="Travel_Rarely"/>
    <x v="0"/>
    <s v="Current Employees"/>
    <x v="0"/>
    <x v="0"/>
    <s v="STAFF-985"/>
    <n v="985"/>
    <x v="1"/>
    <x v="0"/>
    <x v="0"/>
    <s v="No"/>
    <s v="Y"/>
    <n v="3"/>
    <n v="-2"/>
    <n v="0"/>
    <n v="39"/>
    <n v="0"/>
    <m/>
    <n v="0"/>
    <n v="1"/>
    <n v="903"/>
    <n v="2"/>
    <x v="4"/>
    <n v="1"/>
    <n v="1"/>
    <n v="41"/>
    <n v="4"/>
    <n v="3"/>
    <n v="1"/>
    <n v="7880"/>
    <n v="2560"/>
    <n v="0"/>
    <n v="18"/>
    <n v="3"/>
    <n v="4"/>
    <n v="80"/>
    <n v="0"/>
    <n v="9"/>
    <n v="3"/>
    <n v="8"/>
    <n v="7"/>
    <n v="0"/>
    <n v="7"/>
  </r>
  <r>
    <x v="0"/>
    <s v="Non-Travel"/>
    <x v="0"/>
    <s v="Ex-Employees"/>
    <x v="0"/>
    <x v="0"/>
    <s v="STAFF-986"/>
    <n v="986"/>
    <x v="0"/>
    <x v="0"/>
    <x v="0"/>
    <s v="Yes"/>
    <s v="Y"/>
    <n v="2"/>
    <n v="-2"/>
    <n v="0"/>
    <n v="40"/>
    <n v="1"/>
    <n v="1"/>
    <n v="1"/>
    <n v="0"/>
    <n v="1479"/>
    <n v="24"/>
    <x v="3"/>
    <n v="1"/>
    <n v="2"/>
    <n v="100"/>
    <n v="4"/>
    <n v="4"/>
    <n v="1"/>
    <n v="13194"/>
    <n v="17071"/>
    <n v="4"/>
    <n v="16"/>
    <n v="3"/>
    <n v="4"/>
    <n v="80"/>
    <n v="0"/>
    <n v="22"/>
    <n v="2"/>
    <n v="1"/>
    <n v="0"/>
    <n v="0"/>
    <n v="0"/>
  </r>
  <r>
    <x v="1"/>
    <s v="Travel_Frequently"/>
    <x v="1"/>
    <s v="Current Employees"/>
    <x v="1"/>
    <x v="2"/>
    <s v="STAFF-987"/>
    <n v="987"/>
    <x v="1"/>
    <x v="3"/>
    <x v="2"/>
    <s v="Yes"/>
    <s v="Y"/>
    <n v="3"/>
    <n v="-2"/>
    <n v="0"/>
    <n v="47"/>
    <n v="0"/>
    <m/>
    <n v="0"/>
    <n v="1"/>
    <n v="1379"/>
    <n v="16"/>
    <x v="2"/>
    <n v="1"/>
    <n v="3"/>
    <n v="64"/>
    <n v="4"/>
    <n v="2"/>
    <n v="3"/>
    <n v="5067"/>
    <n v="6759"/>
    <n v="1"/>
    <n v="19"/>
    <n v="3"/>
    <n v="3"/>
    <n v="80"/>
    <n v="0"/>
    <n v="20"/>
    <n v="4"/>
    <n v="19"/>
    <n v="10"/>
    <n v="2"/>
    <n v="7"/>
  </r>
  <r>
    <x v="1"/>
    <s v="Non-Travel"/>
    <x v="0"/>
    <s v="Current Employees"/>
    <x v="0"/>
    <x v="4"/>
    <s v="STAFF-990"/>
    <n v="990"/>
    <x v="1"/>
    <x v="0"/>
    <x v="2"/>
    <s v="No"/>
    <s v="Y"/>
    <n v="3"/>
    <n v="-2"/>
    <n v="0"/>
    <n v="36"/>
    <n v="0"/>
    <m/>
    <n v="0"/>
    <n v="1"/>
    <n v="1229"/>
    <n v="8"/>
    <x v="2"/>
    <n v="1"/>
    <n v="4"/>
    <n v="84"/>
    <n v="3"/>
    <n v="2"/>
    <n v="4"/>
    <n v="5079"/>
    <n v="25952"/>
    <n v="4"/>
    <n v="13"/>
    <n v="3"/>
    <n v="4"/>
    <n v="80"/>
    <n v="2"/>
    <n v="12"/>
    <n v="3"/>
    <n v="7"/>
    <n v="7"/>
    <n v="0"/>
    <n v="7"/>
  </r>
  <r>
    <x v="0"/>
    <s v="Non-Travel"/>
    <x v="2"/>
    <s v="Ex-Employees"/>
    <x v="1"/>
    <x v="2"/>
    <s v="STAFF-991"/>
    <n v="991"/>
    <x v="1"/>
    <x v="1"/>
    <x v="0"/>
    <s v="Yes"/>
    <s v="Y"/>
    <n v="0"/>
    <n v="-2"/>
    <n v="0"/>
    <n v="31"/>
    <n v="1"/>
    <n v="1"/>
    <n v="1"/>
    <n v="0"/>
    <n v="335"/>
    <n v="9"/>
    <x v="0"/>
    <n v="1"/>
    <n v="3"/>
    <n v="46"/>
    <n v="2"/>
    <n v="1"/>
    <n v="3"/>
    <n v="2321"/>
    <n v="10322"/>
    <n v="0"/>
    <n v="22"/>
    <n v="4"/>
    <n v="1"/>
    <n v="80"/>
    <n v="0"/>
    <n v="4"/>
    <n v="3"/>
    <n v="3"/>
    <n v="2"/>
    <n v="1"/>
    <n v="2"/>
  </r>
  <r>
    <x v="1"/>
    <s v="Non-Travel"/>
    <x v="2"/>
    <s v="Current Employees"/>
    <x v="0"/>
    <x v="0"/>
    <s v="STAFF-992"/>
    <n v="992"/>
    <x v="1"/>
    <x v="5"/>
    <x v="0"/>
    <s v="No"/>
    <s v="Y"/>
    <n v="2"/>
    <n v="-2"/>
    <n v="0"/>
    <n v="33"/>
    <n v="0"/>
    <m/>
    <n v="0"/>
    <n v="1"/>
    <n v="722"/>
    <n v="17"/>
    <x v="3"/>
    <n v="1"/>
    <n v="4"/>
    <n v="38"/>
    <n v="3"/>
    <n v="4"/>
    <n v="1"/>
    <n v="17444"/>
    <n v="20489"/>
    <n v="1"/>
    <n v="11"/>
    <n v="3"/>
    <n v="4"/>
    <n v="80"/>
    <n v="0"/>
    <n v="10"/>
    <n v="3"/>
    <n v="10"/>
    <n v="8"/>
    <n v="6"/>
    <n v="0"/>
  </r>
  <r>
    <x v="0"/>
    <s v="Travel_Rarely"/>
    <x v="2"/>
    <s v="Ex-Employees"/>
    <x v="1"/>
    <x v="0"/>
    <s v="STAFF-994"/>
    <n v="994"/>
    <x v="0"/>
    <x v="1"/>
    <x v="0"/>
    <s v="Yes"/>
    <s v="Y"/>
    <n v="5"/>
    <n v="-2"/>
    <n v="0"/>
    <n v="29"/>
    <n v="1"/>
    <n v="1"/>
    <n v="1"/>
    <n v="0"/>
    <n v="906"/>
    <n v="10"/>
    <x v="3"/>
    <n v="1"/>
    <n v="4"/>
    <n v="92"/>
    <n v="2"/>
    <n v="1"/>
    <n v="1"/>
    <n v="2404"/>
    <n v="11479"/>
    <n v="6"/>
    <n v="20"/>
    <n v="4"/>
    <n v="3"/>
    <n v="80"/>
    <n v="0"/>
    <n v="3"/>
    <n v="3"/>
    <n v="0"/>
    <n v="0"/>
    <n v="0"/>
    <n v="0"/>
  </r>
  <r>
    <x v="1"/>
    <s v="Travel_Rarely"/>
    <x v="2"/>
    <s v="Current Employees"/>
    <x v="1"/>
    <x v="0"/>
    <s v="STAFF-995"/>
    <n v="995"/>
    <x v="0"/>
    <x v="1"/>
    <x v="0"/>
    <s v="No"/>
    <s v="Y"/>
    <n v="4"/>
    <n v="-2"/>
    <n v="0"/>
    <n v="33"/>
    <n v="0"/>
    <m/>
    <n v="0"/>
    <n v="1"/>
    <n v="461"/>
    <n v="13"/>
    <x v="1"/>
    <n v="1"/>
    <n v="2"/>
    <n v="53"/>
    <n v="3"/>
    <n v="1"/>
    <n v="1"/>
    <n v="3452"/>
    <n v="17241"/>
    <n v="3"/>
    <n v="18"/>
    <n v="3"/>
    <n v="1"/>
    <n v="80"/>
    <n v="0"/>
    <n v="5"/>
    <n v="3"/>
    <n v="3"/>
    <n v="2"/>
    <n v="0"/>
    <n v="2"/>
  </r>
  <r>
    <x v="1"/>
    <s v="Travel_Rarely"/>
    <x v="1"/>
    <s v="Current Employees"/>
    <x v="1"/>
    <x v="2"/>
    <s v="STAFF-996"/>
    <n v="996"/>
    <x v="0"/>
    <x v="2"/>
    <x v="2"/>
    <s v="No"/>
    <s v="Y"/>
    <n v="2"/>
    <n v="-2"/>
    <n v="0"/>
    <n v="45"/>
    <n v="0"/>
    <m/>
    <n v="0"/>
    <n v="1"/>
    <n v="974"/>
    <n v="1"/>
    <x v="2"/>
    <n v="1"/>
    <n v="4"/>
    <n v="91"/>
    <n v="3"/>
    <n v="1"/>
    <n v="4"/>
    <n v="2270"/>
    <n v="11005"/>
    <n v="3"/>
    <n v="14"/>
    <n v="3"/>
    <n v="4"/>
    <n v="80"/>
    <n v="2"/>
    <n v="8"/>
    <n v="3"/>
    <n v="5"/>
    <n v="3"/>
    <n v="0"/>
    <n v="2"/>
  </r>
  <r>
    <x v="1"/>
    <s v="Travel_Rarely"/>
    <x v="1"/>
    <s v="Current Employees"/>
    <x v="1"/>
    <x v="2"/>
    <s v="STAFF-997"/>
    <n v="997"/>
    <x v="1"/>
    <x v="7"/>
    <x v="2"/>
    <s v="No"/>
    <s v="Y"/>
    <n v="1"/>
    <n v="-2"/>
    <n v="0"/>
    <n v="50"/>
    <n v="0"/>
    <m/>
    <n v="0"/>
    <n v="1"/>
    <n v="1126"/>
    <n v="1"/>
    <x v="0"/>
    <n v="1"/>
    <n v="4"/>
    <n v="66"/>
    <n v="3"/>
    <n v="4"/>
    <n v="4"/>
    <n v="17399"/>
    <n v="6615"/>
    <n v="9"/>
    <n v="22"/>
    <n v="4"/>
    <n v="3"/>
    <n v="80"/>
    <n v="1"/>
    <n v="32"/>
    <n v="2"/>
    <n v="5"/>
    <n v="4"/>
    <n v="1"/>
    <n v="3"/>
  </r>
  <r>
    <x v="1"/>
    <s v="Travel_Frequently"/>
    <x v="2"/>
    <s v="Current Employees"/>
    <x v="1"/>
    <x v="1"/>
    <s v="STAFF-998"/>
    <n v="998"/>
    <x v="0"/>
    <x v="4"/>
    <x v="1"/>
    <s v="Yes"/>
    <s v="Y"/>
    <n v="2"/>
    <n v="-2"/>
    <n v="0"/>
    <n v="33"/>
    <n v="0"/>
    <m/>
    <n v="0"/>
    <n v="1"/>
    <n v="827"/>
    <n v="1"/>
    <x v="2"/>
    <n v="1"/>
    <n v="3"/>
    <n v="84"/>
    <n v="4"/>
    <n v="2"/>
    <n v="3"/>
    <n v="5488"/>
    <n v="20161"/>
    <n v="1"/>
    <n v="13"/>
    <n v="3"/>
    <n v="1"/>
    <n v="80"/>
    <n v="1"/>
    <n v="6"/>
    <n v="3"/>
    <n v="6"/>
    <n v="5"/>
    <n v="1"/>
    <n v="2"/>
  </r>
  <r>
    <x v="1"/>
    <s v="Travel_Frequently"/>
    <x v="0"/>
    <s v="Current Employees"/>
    <x v="1"/>
    <x v="2"/>
    <s v="STAFF-999"/>
    <n v="999"/>
    <x v="1"/>
    <x v="7"/>
    <x v="2"/>
    <s v="No"/>
    <s v="Y"/>
    <n v="2"/>
    <n v="-2"/>
    <n v="0"/>
    <n v="41"/>
    <n v="0"/>
    <m/>
    <n v="0"/>
    <n v="1"/>
    <n v="840"/>
    <n v="9"/>
    <x v="3"/>
    <n v="1"/>
    <n v="1"/>
    <n v="64"/>
    <n v="3"/>
    <n v="5"/>
    <n v="3"/>
    <n v="19419"/>
    <n v="3735"/>
    <n v="2"/>
    <n v="17"/>
    <n v="3"/>
    <n v="2"/>
    <n v="80"/>
    <n v="1"/>
    <n v="21"/>
    <n v="4"/>
    <n v="18"/>
    <n v="16"/>
    <n v="0"/>
    <n v="11"/>
  </r>
  <r>
    <x v="1"/>
    <s v="Travel_Rarely"/>
    <x v="2"/>
    <s v="Current Employees"/>
    <x v="1"/>
    <x v="4"/>
    <s v="STAFF-1001"/>
    <n v="1001"/>
    <x v="0"/>
    <x v="2"/>
    <x v="1"/>
    <s v="No"/>
    <s v="Y"/>
    <n v="2"/>
    <n v="-2"/>
    <n v="0"/>
    <n v="27"/>
    <n v="0"/>
    <m/>
    <n v="0"/>
    <n v="1"/>
    <n v="1134"/>
    <n v="16"/>
    <x v="2"/>
    <n v="1"/>
    <n v="4"/>
    <n v="37"/>
    <n v="3"/>
    <n v="1"/>
    <n v="4"/>
    <n v="2811"/>
    <n v="12086"/>
    <n v="9"/>
    <n v="14"/>
    <n v="3"/>
    <n v="2"/>
    <n v="80"/>
    <n v="1"/>
    <n v="4"/>
    <n v="3"/>
    <n v="2"/>
    <n v="2"/>
    <n v="2"/>
    <n v="2"/>
  </r>
  <r>
    <x v="1"/>
    <s v="Non-Travel"/>
    <x v="1"/>
    <s v="Current Employees"/>
    <x v="1"/>
    <x v="0"/>
    <s v="STAFF-1002"/>
    <n v="1002"/>
    <x v="1"/>
    <x v="2"/>
    <x v="1"/>
    <s v="Yes"/>
    <s v="Y"/>
    <n v="2"/>
    <n v="-2"/>
    <n v="0"/>
    <n v="45"/>
    <n v="0"/>
    <m/>
    <n v="0"/>
    <n v="1"/>
    <n v="248"/>
    <n v="23"/>
    <x v="0"/>
    <n v="1"/>
    <n v="4"/>
    <n v="42"/>
    <n v="3"/>
    <n v="2"/>
    <n v="1"/>
    <n v="3633"/>
    <n v="14039"/>
    <n v="1"/>
    <n v="15"/>
    <n v="3"/>
    <n v="3"/>
    <n v="80"/>
    <n v="1"/>
    <n v="9"/>
    <n v="3"/>
    <n v="9"/>
    <n v="8"/>
    <n v="0"/>
    <n v="8"/>
  </r>
  <r>
    <x v="1"/>
    <s v="Travel_Rarely"/>
    <x v="1"/>
    <s v="Current Employees"/>
    <x v="0"/>
    <x v="0"/>
    <s v="STAFF-1003"/>
    <n v="1003"/>
    <x v="0"/>
    <x v="0"/>
    <x v="0"/>
    <s v="Yes"/>
    <s v="Y"/>
    <n v="0"/>
    <n v="-2"/>
    <n v="0"/>
    <n v="47"/>
    <n v="0"/>
    <m/>
    <n v="0"/>
    <n v="1"/>
    <n v="955"/>
    <n v="4"/>
    <x v="0"/>
    <n v="1"/>
    <n v="4"/>
    <n v="83"/>
    <n v="3"/>
    <n v="2"/>
    <n v="1"/>
    <n v="4163"/>
    <n v="8571"/>
    <n v="1"/>
    <n v="17"/>
    <n v="3"/>
    <n v="3"/>
    <n v="80"/>
    <n v="0"/>
    <n v="9"/>
    <n v="3"/>
    <n v="9"/>
    <n v="0"/>
    <n v="0"/>
    <n v="7"/>
  </r>
  <r>
    <x v="0"/>
    <s v="Travel_Rarely"/>
    <x v="2"/>
    <s v="Ex-Employees"/>
    <x v="1"/>
    <x v="0"/>
    <s v="STAFF-1004"/>
    <n v="1004"/>
    <x v="0"/>
    <x v="1"/>
    <x v="1"/>
    <s v="Yes"/>
    <s v="Y"/>
    <n v="2"/>
    <n v="-2"/>
    <n v="0"/>
    <n v="30"/>
    <n v="1"/>
    <n v="1"/>
    <n v="1"/>
    <n v="0"/>
    <n v="138"/>
    <n v="22"/>
    <x v="3"/>
    <n v="1"/>
    <n v="1"/>
    <n v="48"/>
    <n v="3"/>
    <n v="1"/>
    <n v="1"/>
    <n v="2132"/>
    <n v="11539"/>
    <n v="4"/>
    <n v="11"/>
    <n v="3"/>
    <n v="2"/>
    <n v="80"/>
    <n v="0"/>
    <n v="7"/>
    <n v="3"/>
    <n v="5"/>
    <n v="2"/>
    <n v="0"/>
    <n v="1"/>
  </r>
  <r>
    <x v="1"/>
    <s v="Travel_Rarely"/>
    <x v="1"/>
    <s v="Current Employees"/>
    <x v="1"/>
    <x v="0"/>
    <s v="STAFF-1005"/>
    <n v="1005"/>
    <x v="1"/>
    <x v="3"/>
    <x v="1"/>
    <s v="Yes"/>
    <s v="Y"/>
    <n v="2"/>
    <n v="-2"/>
    <n v="0"/>
    <n v="50"/>
    <n v="0"/>
    <m/>
    <n v="0"/>
    <n v="1"/>
    <n v="939"/>
    <n v="24"/>
    <x v="3"/>
    <n v="1"/>
    <n v="4"/>
    <n v="95"/>
    <n v="3"/>
    <n v="4"/>
    <n v="1"/>
    <n v="13973"/>
    <n v="4161"/>
    <n v="3"/>
    <n v="18"/>
    <n v="3"/>
    <n v="4"/>
    <n v="80"/>
    <n v="1"/>
    <n v="22"/>
    <n v="3"/>
    <n v="12"/>
    <n v="11"/>
    <n v="1"/>
    <n v="5"/>
  </r>
  <r>
    <x v="1"/>
    <s v="Travel_Frequently"/>
    <x v="0"/>
    <s v="Current Employees"/>
    <x v="1"/>
    <x v="2"/>
    <s v="STAFF-1006"/>
    <n v="1006"/>
    <x v="1"/>
    <x v="1"/>
    <x v="1"/>
    <s v="No"/>
    <s v="Y"/>
    <n v="0"/>
    <n v="-2"/>
    <n v="0"/>
    <n v="38"/>
    <n v="0"/>
    <m/>
    <n v="0"/>
    <n v="1"/>
    <n v="1391"/>
    <n v="10"/>
    <x v="1"/>
    <n v="1"/>
    <n v="3"/>
    <n v="66"/>
    <n v="3"/>
    <n v="1"/>
    <n v="3"/>
    <n v="2684"/>
    <n v="12127"/>
    <n v="0"/>
    <n v="17"/>
    <n v="3"/>
    <n v="2"/>
    <n v="80"/>
    <n v="1"/>
    <n v="3"/>
    <n v="2"/>
    <n v="2"/>
    <n v="1"/>
    <n v="0"/>
    <n v="2"/>
  </r>
  <r>
    <x v="1"/>
    <s v="Travel_Rarely"/>
    <x v="1"/>
    <s v="Current Employees"/>
    <x v="1"/>
    <x v="2"/>
    <s v="STAFF-1007"/>
    <n v="1007"/>
    <x v="1"/>
    <x v="3"/>
    <x v="2"/>
    <s v="No"/>
    <s v="Y"/>
    <n v="3"/>
    <n v="-2"/>
    <n v="0"/>
    <n v="46"/>
    <n v="0"/>
    <m/>
    <n v="0"/>
    <n v="1"/>
    <n v="566"/>
    <n v="7"/>
    <x v="0"/>
    <n v="1"/>
    <n v="4"/>
    <n v="75"/>
    <n v="3"/>
    <n v="3"/>
    <n v="3"/>
    <n v="10845"/>
    <n v="24208"/>
    <n v="6"/>
    <n v="13"/>
    <n v="3"/>
    <n v="2"/>
    <n v="80"/>
    <n v="1"/>
    <n v="13"/>
    <n v="3"/>
    <n v="8"/>
    <n v="7"/>
    <n v="0"/>
    <n v="7"/>
  </r>
  <r>
    <x v="1"/>
    <s v="Travel_Rarely"/>
    <x v="4"/>
    <s v="Current Employees"/>
    <x v="1"/>
    <x v="2"/>
    <s v="STAFF-1009"/>
    <n v="1009"/>
    <x v="0"/>
    <x v="3"/>
    <x v="2"/>
    <s v="No"/>
    <s v="Y"/>
    <n v="6"/>
    <n v="-2"/>
    <n v="0"/>
    <n v="24"/>
    <n v="0"/>
    <m/>
    <n v="0"/>
    <n v="1"/>
    <n v="1206"/>
    <n v="17"/>
    <x v="1"/>
    <n v="1"/>
    <n v="4"/>
    <n v="41"/>
    <n v="2"/>
    <n v="2"/>
    <n v="3"/>
    <n v="4377"/>
    <n v="24117"/>
    <n v="1"/>
    <n v="15"/>
    <n v="3"/>
    <n v="2"/>
    <n v="80"/>
    <n v="2"/>
    <n v="5"/>
    <n v="3"/>
    <n v="4"/>
    <n v="2"/>
    <n v="3"/>
    <n v="2"/>
  </r>
  <r>
    <x v="0"/>
    <s v="Travel_Rarely"/>
    <x v="0"/>
    <s v="Ex-Employees"/>
    <x v="1"/>
    <x v="1"/>
    <s v="STAFF-1010"/>
    <n v="1010"/>
    <x v="1"/>
    <x v="2"/>
    <x v="2"/>
    <s v="Yes"/>
    <s v="Y"/>
    <n v="2"/>
    <n v="-2"/>
    <n v="0"/>
    <n v="35"/>
    <n v="1"/>
    <n v="1"/>
    <n v="1"/>
    <n v="0"/>
    <n v="622"/>
    <n v="14"/>
    <x v="2"/>
    <n v="1"/>
    <n v="3"/>
    <n v="39"/>
    <n v="2"/>
    <n v="1"/>
    <n v="3"/>
    <n v="3743"/>
    <n v="10074"/>
    <n v="1"/>
    <n v="24"/>
    <n v="4"/>
    <n v="4"/>
    <n v="80"/>
    <n v="1"/>
    <n v="5"/>
    <n v="1"/>
    <n v="4"/>
    <n v="2"/>
    <n v="0"/>
    <n v="2"/>
  </r>
  <r>
    <x v="1"/>
    <s v="Travel_Frequently"/>
    <x v="2"/>
    <s v="Current Employees"/>
    <x v="1"/>
    <x v="0"/>
    <s v="STAFF-1011"/>
    <n v="1011"/>
    <x v="0"/>
    <x v="3"/>
    <x v="1"/>
    <s v="No"/>
    <s v="Y"/>
    <n v="1"/>
    <n v="-2"/>
    <n v="0"/>
    <n v="31"/>
    <n v="0"/>
    <m/>
    <n v="0"/>
    <n v="1"/>
    <n v="853"/>
    <n v="1"/>
    <x v="1"/>
    <n v="1"/>
    <n v="3"/>
    <n v="96"/>
    <n v="3"/>
    <n v="2"/>
    <n v="1"/>
    <n v="4148"/>
    <n v="11275"/>
    <n v="1"/>
    <n v="12"/>
    <n v="3"/>
    <n v="3"/>
    <n v="80"/>
    <n v="1"/>
    <n v="4"/>
    <n v="3"/>
    <n v="4"/>
    <n v="3"/>
    <n v="0"/>
    <n v="3"/>
  </r>
  <r>
    <x v="1"/>
    <s v="Non-Travel"/>
    <x v="4"/>
    <s v="Current Employees"/>
    <x v="1"/>
    <x v="0"/>
    <s v="STAFF-1012"/>
    <n v="1012"/>
    <x v="1"/>
    <x v="1"/>
    <x v="0"/>
    <s v="No"/>
    <s v="Y"/>
    <n v="2"/>
    <n v="-2"/>
    <n v="0"/>
    <n v="18"/>
    <n v="0"/>
    <m/>
    <n v="0"/>
    <n v="1"/>
    <n v="287"/>
    <n v="5"/>
    <x v="0"/>
    <n v="1"/>
    <n v="2"/>
    <n v="73"/>
    <n v="3"/>
    <n v="1"/>
    <n v="1"/>
    <n v="1051"/>
    <n v="13493"/>
    <n v="1"/>
    <n v="15"/>
    <n v="3"/>
    <n v="4"/>
    <n v="80"/>
    <n v="0"/>
    <n v="0"/>
    <n v="3"/>
    <n v="0"/>
    <n v="0"/>
    <n v="0"/>
    <n v="0"/>
  </r>
  <r>
    <x v="1"/>
    <s v="Travel_Rarely"/>
    <x v="1"/>
    <s v="Current Employees"/>
    <x v="1"/>
    <x v="4"/>
    <s v="STAFF-1013"/>
    <n v="1013"/>
    <x v="0"/>
    <x v="3"/>
    <x v="1"/>
    <s v="No"/>
    <s v="Y"/>
    <n v="2"/>
    <n v="-2"/>
    <n v="0"/>
    <n v="54"/>
    <n v="0"/>
    <m/>
    <n v="0"/>
    <n v="1"/>
    <n v="1441"/>
    <n v="17"/>
    <x v="3"/>
    <n v="1"/>
    <n v="4"/>
    <n v="56"/>
    <n v="3"/>
    <n v="3"/>
    <n v="4"/>
    <n v="10739"/>
    <n v="13943"/>
    <n v="8"/>
    <n v="11"/>
    <n v="3"/>
    <n v="3"/>
    <n v="80"/>
    <n v="1"/>
    <n v="22"/>
    <n v="3"/>
    <n v="10"/>
    <n v="7"/>
    <n v="0"/>
    <n v="8"/>
  </r>
  <r>
    <x v="1"/>
    <s v="Travel_Rarely"/>
    <x v="0"/>
    <s v="Current Employees"/>
    <x v="1"/>
    <x v="2"/>
    <s v="STAFF-1014"/>
    <n v="1014"/>
    <x v="0"/>
    <x v="4"/>
    <x v="2"/>
    <s v="Yes"/>
    <s v="Y"/>
    <n v="3"/>
    <n v="-2"/>
    <n v="0"/>
    <n v="35"/>
    <n v="0"/>
    <m/>
    <n v="0"/>
    <n v="1"/>
    <n v="583"/>
    <n v="25"/>
    <x v="2"/>
    <n v="1"/>
    <n v="3"/>
    <n v="57"/>
    <n v="3"/>
    <n v="3"/>
    <n v="3"/>
    <n v="10388"/>
    <n v="6975"/>
    <n v="1"/>
    <n v="11"/>
    <n v="3"/>
    <n v="3"/>
    <n v="80"/>
    <n v="1"/>
    <n v="16"/>
    <n v="2"/>
    <n v="16"/>
    <n v="10"/>
    <n v="10"/>
    <n v="1"/>
  </r>
  <r>
    <x v="1"/>
    <s v="Travel_Rarely"/>
    <x v="2"/>
    <s v="Current Employees"/>
    <x v="1"/>
    <x v="0"/>
    <s v="STAFF-1015"/>
    <n v="1015"/>
    <x v="0"/>
    <x v="7"/>
    <x v="1"/>
    <s v="Yes"/>
    <s v="Y"/>
    <n v="4"/>
    <n v="-2"/>
    <n v="0"/>
    <n v="30"/>
    <n v="0"/>
    <m/>
    <n v="0"/>
    <n v="1"/>
    <n v="153"/>
    <n v="8"/>
    <x v="0"/>
    <n v="1"/>
    <n v="2"/>
    <n v="73"/>
    <n v="4"/>
    <n v="3"/>
    <n v="1"/>
    <n v="11416"/>
    <n v="17802"/>
    <n v="0"/>
    <n v="12"/>
    <n v="3"/>
    <n v="3"/>
    <n v="80"/>
    <n v="3"/>
    <n v="9"/>
    <n v="2"/>
    <n v="8"/>
    <n v="7"/>
    <n v="1"/>
    <n v="7"/>
  </r>
  <r>
    <x v="0"/>
    <s v="Travel_Rarely"/>
    <x v="4"/>
    <s v="Ex-Employees"/>
    <x v="1"/>
    <x v="2"/>
    <s v="STAFF-1016"/>
    <n v="1016"/>
    <x v="0"/>
    <x v="1"/>
    <x v="0"/>
    <s v="Yes"/>
    <s v="Y"/>
    <n v="2"/>
    <n v="-2"/>
    <n v="0"/>
    <n v="20"/>
    <n v="1"/>
    <n v="1"/>
    <n v="1"/>
    <n v="0"/>
    <n v="1097"/>
    <n v="11"/>
    <x v="3"/>
    <n v="1"/>
    <n v="4"/>
    <n v="98"/>
    <n v="2"/>
    <n v="1"/>
    <n v="3"/>
    <n v="2600"/>
    <n v="18275"/>
    <n v="1"/>
    <n v="15"/>
    <n v="3"/>
    <n v="1"/>
    <n v="80"/>
    <n v="0"/>
    <n v="1"/>
    <n v="3"/>
    <n v="1"/>
    <n v="0"/>
    <n v="0"/>
    <n v="0"/>
  </r>
  <r>
    <x v="0"/>
    <s v="Travel_Frequently"/>
    <x v="2"/>
    <s v="Ex-Employees"/>
    <x v="1"/>
    <x v="2"/>
    <s v="STAFF-1017"/>
    <n v="1017"/>
    <x v="0"/>
    <x v="2"/>
    <x v="0"/>
    <s v="No"/>
    <s v="Y"/>
    <n v="3"/>
    <n v="-2"/>
    <n v="0"/>
    <n v="30"/>
    <n v="1"/>
    <n v="1"/>
    <n v="1"/>
    <n v="0"/>
    <n v="109"/>
    <n v="5"/>
    <x v="3"/>
    <n v="1"/>
    <n v="2"/>
    <n v="60"/>
    <n v="3"/>
    <n v="1"/>
    <n v="3"/>
    <n v="2422"/>
    <n v="25725"/>
    <n v="0"/>
    <n v="17"/>
    <n v="3"/>
    <n v="1"/>
    <n v="80"/>
    <n v="0"/>
    <n v="4"/>
    <n v="3"/>
    <n v="3"/>
    <n v="2"/>
    <n v="1"/>
    <n v="2"/>
  </r>
  <r>
    <x v="1"/>
    <s v="Travel_Rarely"/>
    <x v="2"/>
    <s v="Current Employees"/>
    <x v="1"/>
    <x v="2"/>
    <s v="STAFF-1018"/>
    <n v="1018"/>
    <x v="1"/>
    <x v="3"/>
    <x v="1"/>
    <s v="No"/>
    <s v="Y"/>
    <n v="2"/>
    <n v="-2"/>
    <n v="0"/>
    <n v="26"/>
    <n v="0"/>
    <m/>
    <n v="0"/>
    <n v="1"/>
    <n v="1066"/>
    <n v="2"/>
    <x v="0"/>
    <n v="1"/>
    <n v="4"/>
    <n v="32"/>
    <n v="4"/>
    <n v="2"/>
    <n v="4"/>
    <n v="5472"/>
    <n v="3334"/>
    <n v="1"/>
    <n v="12"/>
    <n v="3"/>
    <n v="2"/>
    <n v="80"/>
    <n v="0"/>
    <n v="8"/>
    <n v="3"/>
    <n v="8"/>
    <n v="7"/>
    <n v="1"/>
    <n v="3"/>
  </r>
  <r>
    <x v="1"/>
    <s v="Travel_Rarely"/>
    <x v="4"/>
    <s v="Current Employees"/>
    <x v="1"/>
    <x v="0"/>
    <s v="STAFF-1019"/>
    <n v="1019"/>
    <x v="1"/>
    <x v="2"/>
    <x v="1"/>
    <s v="No"/>
    <s v="Y"/>
    <n v="3"/>
    <n v="-2"/>
    <n v="0"/>
    <n v="22"/>
    <n v="0"/>
    <m/>
    <n v="0"/>
    <n v="1"/>
    <n v="217"/>
    <n v="8"/>
    <x v="1"/>
    <n v="1"/>
    <n v="2"/>
    <n v="94"/>
    <n v="1"/>
    <n v="1"/>
    <n v="1"/>
    <n v="2451"/>
    <n v="6881"/>
    <n v="1"/>
    <n v="15"/>
    <n v="3"/>
    <n v="1"/>
    <n v="80"/>
    <n v="1"/>
    <n v="4"/>
    <n v="2"/>
    <n v="4"/>
    <n v="3"/>
    <n v="1"/>
    <n v="1"/>
  </r>
  <r>
    <x v="1"/>
    <s v="Travel_Rarely"/>
    <x v="1"/>
    <s v="Current Employees"/>
    <x v="1"/>
    <x v="0"/>
    <s v="STAFF-1022"/>
    <n v="1022"/>
    <x v="1"/>
    <x v="4"/>
    <x v="0"/>
    <s v="No"/>
    <s v="Y"/>
    <n v="0"/>
    <n v="-2"/>
    <n v="0"/>
    <n v="48"/>
    <n v="0"/>
    <m/>
    <n v="0"/>
    <n v="1"/>
    <n v="277"/>
    <n v="6"/>
    <x v="3"/>
    <n v="1"/>
    <n v="1"/>
    <n v="97"/>
    <n v="2"/>
    <n v="2"/>
    <n v="1"/>
    <n v="4240"/>
    <n v="13119"/>
    <n v="2"/>
    <n v="13"/>
    <n v="3"/>
    <n v="4"/>
    <n v="80"/>
    <n v="0"/>
    <n v="19"/>
    <n v="3"/>
    <n v="2"/>
    <n v="2"/>
    <n v="2"/>
    <n v="2"/>
  </r>
  <r>
    <x v="1"/>
    <s v="Travel_Rarely"/>
    <x v="1"/>
    <s v="Current Employees"/>
    <x v="1"/>
    <x v="0"/>
    <s v="STAFF-1024"/>
    <n v="1024"/>
    <x v="1"/>
    <x v="4"/>
    <x v="0"/>
    <s v="No"/>
    <s v="Y"/>
    <n v="3"/>
    <n v="-2"/>
    <n v="0"/>
    <n v="48"/>
    <n v="0"/>
    <m/>
    <n v="0"/>
    <n v="1"/>
    <n v="1355"/>
    <n v="4"/>
    <x v="2"/>
    <n v="1"/>
    <n v="3"/>
    <n v="78"/>
    <n v="2"/>
    <n v="3"/>
    <n v="1"/>
    <n v="10999"/>
    <n v="22245"/>
    <n v="7"/>
    <n v="14"/>
    <n v="3"/>
    <n v="2"/>
    <n v="80"/>
    <n v="0"/>
    <n v="27"/>
    <n v="3"/>
    <n v="15"/>
    <n v="11"/>
    <n v="4"/>
    <n v="8"/>
  </r>
  <r>
    <x v="1"/>
    <s v="Travel_Rarely"/>
    <x v="0"/>
    <s v="Current Employees"/>
    <x v="1"/>
    <x v="2"/>
    <s v="STAFF-1025"/>
    <n v="1025"/>
    <x v="0"/>
    <x v="3"/>
    <x v="0"/>
    <s v="No"/>
    <s v="Y"/>
    <n v="6"/>
    <n v="-2"/>
    <n v="0"/>
    <n v="41"/>
    <n v="0"/>
    <m/>
    <n v="0"/>
    <n v="1"/>
    <n v="549"/>
    <n v="7"/>
    <x v="0"/>
    <n v="1"/>
    <n v="4"/>
    <n v="42"/>
    <n v="3"/>
    <n v="2"/>
    <n v="3"/>
    <n v="5003"/>
    <n v="23371"/>
    <n v="6"/>
    <n v="14"/>
    <n v="3"/>
    <n v="2"/>
    <n v="80"/>
    <n v="0"/>
    <n v="8"/>
    <n v="3"/>
    <n v="2"/>
    <n v="2"/>
    <n v="2"/>
    <n v="1"/>
  </r>
  <r>
    <x v="1"/>
    <s v="Travel_Rarely"/>
    <x v="0"/>
    <s v="Current Employees"/>
    <x v="1"/>
    <x v="0"/>
    <s v="STAFF-1026"/>
    <n v="1026"/>
    <x v="0"/>
    <x v="3"/>
    <x v="1"/>
    <s v="No"/>
    <s v="Y"/>
    <n v="3"/>
    <n v="-2"/>
    <n v="0"/>
    <n v="39"/>
    <n v="0"/>
    <m/>
    <n v="0"/>
    <n v="1"/>
    <n v="466"/>
    <n v="1"/>
    <x v="1"/>
    <n v="1"/>
    <n v="4"/>
    <n v="65"/>
    <n v="2"/>
    <n v="4"/>
    <n v="1"/>
    <n v="12742"/>
    <n v="7060"/>
    <n v="1"/>
    <n v="16"/>
    <n v="3"/>
    <n v="3"/>
    <n v="80"/>
    <n v="1"/>
    <n v="21"/>
    <n v="3"/>
    <n v="21"/>
    <n v="6"/>
    <n v="11"/>
    <n v="8"/>
  </r>
  <r>
    <x v="1"/>
    <s v="Travel_Rarely"/>
    <x v="2"/>
    <s v="Current Employees"/>
    <x v="1"/>
    <x v="0"/>
    <s v="STAFF-1027"/>
    <n v="1027"/>
    <x v="0"/>
    <x v="3"/>
    <x v="1"/>
    <s v="No"/>
    <s v="Y"/>
    <n v="2"/>
    <n v="-2"/>
    <n v="0"/>
    <n v="27"/>
    <n v="0"/>
    <m/>
    <n v="0"/>
    <n v="1"/>
    <n v="1055"/>
    <n v="2"/>
    <x v="2"/>
    <n v="1"/>
    <n v="1"/>
    <n v="47"/>
    <n v="3"/>
    <n v="2"/>
    <n v="1"/>
    <n v="4227"/>
    <n v="4658"/>
    <n v="0"/>
    <n v="18"/>
    <n v="3"/>
    <n v="2"/>
    <n v="80"/>
    <n v="1"/>
    <n v="4"/>
    <n v="3"/>
    <n v="3"/>
    <n v="2"/>
    <n v="2"/>
    <n v="2"/>
  </r>
  <r>
    <x v="1"/>
    <s v="Travel_Rarely"/>
    <x v="0"/>
    <s v="Current Employees"/>
    <x v="1"/>
    <x v="1"/>
    <s v="STAFF-1028"/>
    <n v="1028"/>
    <x v="1"/>
    <x v="2"/>
    <x v="2"/>
    <s v="No"/>
    <s v="Y"/>
    <n v="4"/>
    <n v="-2"/>
    <n v="0"/>
    <n v="35"/>
    <n v="0"/>
    <m/>
    <n v="0"/>
    <n v="1"/>
    <n v="802"/>
    <n v="10"/>
    <x v="3"/>
    <n v="1"/>
    <n v="2"/>
    <n v="45"/>
    <n v="3"/>
    <n v="1"/>
    <n v="4"/>
    <n v="3917"/>
    <n v="9541"/>
    <n v="1"/>
    <n v="20"/>
    <n v="4"/>
    <n v="1"/>
    <n v="80"/>
    <n v="1"/>
    <n v="3"/>
    <n v="2"/>
    <n v="3"/>
    <n v="2"/>
    <n v="1"/>
    <n v="2"/>
  </r>
  <r>
    <x v="1"/>
    <s v="Travel_Rarely"/>
    <x v="0"/>
    <s v="Current Employees"/>
    <x v="0"/>
    <x v="3"/>
    <s v="STAFF-1029"/>
    <n v="1029"/>
    <x v="1"/>
    <x v="5"/>
    <x v="1"/>
    <s v="No"/>
    <s v="Y"/>
    <n v="3"/>
    <n v="-2"/>
    <n v="0"/>
    <n v="42"/>
    <n v="0"/>
    <m/>
    <n v="0"/>
    <n v="1"/>
    <n v="265"/>
    <n v="5"/>
    <x v="0"/>
    <n v="1"/>
    <n v="4"/>
    <n v="90"/>
    <n v="3"/>
    <n v="5"/>
    <n v="2"/>
    <n v="18303"/>
    <n v="7770"/>
    <n v="6"/>
    <n v="13"/>
    <n v="3"/>
    <n v="2"/>
    <n v="80"/>
    <n v="0"/>
    <n v="21"/>
    <n v="4"/>
    <n v="1"/>
    <n v="0"/>
    <n v="0"/>
    <n v="0"/>
  </r>
  <r>
    <x v="1"/>
    <s v="Travel_Rarely"/>
    <x v="1"/>
    <s v="Current Employees"/>
    <x v="1"/>
    <x v="0"/>
    <s v="STAFF-1030"/>
    <n v="1030"/>
    <x v="1"/>
    <x v="2"/>
    <x v="1"/>
    <s v="No"/>
    <s v="Y"/>
    <n v="5"/>
    <n v="-2"/>
    <n v="0"/>
    <n v="50"/>
    <n v="0"/>
    <m/>
    <n v="0"/>
    <n v="1"/>
    <n v="804"/>
    <n v="9"/>
    <x v="3"/>
    <n v="1"/>
    <n v="1"/>
    <n v="64"/>
    <n v="3"/>
    <n v="1"/>
    <n v="1"/>
    <n v="2380"/>
    <n v="20165"/>
    <n v="4"/>
    <n v="18"/>
    <n v="3"/>
    <n v="2"/>
    <n v="80"/>
    <n v="0"/>
    <n v="8"/>
    <n v="3"/>
    <n v="1"/>
    <n v="0"/>
    <n v="0"/>
    <n v="0"/>
  </r>
  <r>
    <x v="1"/>
    <s v="Travel_Rarely"/>
    <x v="3"/>
    <s v="Current Employees"/>
    <x v="1"/>
    <x v="0"/>
    <s v="STAFF-1032"/>
    <n v="1032"/>
    <x v="0"/>
    <x v="3"/>
    <x v="0"/>
    <s v="Yes"/>
    <s v="Y"/>
    <n v="4"/>
    <n v="-2"/>
    <n v="0"/>
    <n v="59"/>
    <n v="0"/>
    <m/>
    <n v="0"/>
    <n v="1"/>
    <n v="715"/>
    <n v="2"/>
    <x v="3"/>
    <n v="1"/>
    <n v="3"/>
    <n v="69"/>
    <n v="2"/>
    <n v="4"/>
    <n v="1"/>
    <n v="13726"/>
    <n v="21829"/>
    <n v="3"/>
    <n v="13"/>
    <n v="3"/>
    <n v="1"/>
    <n v="80"/>
    <n v="0"/>
    <n v="30"/>
    <n v="3"/>
    <n v="5"/>
    <n v="3"/>
    <n v="4"/>
    <n v="3"/>
  </r>
  <r>
    <x v="0"/>
    <s v="Travel_Rarely"/>
    <x v="0"/>
    <s v="Ex-Employees"/>
    <x v="1"/>
    <x v="2"/>
    <s v="STAFF-1033"/>
    <n v="1033"/>
    <x v="0"/>
    <x v="4"/>
    <x v="1"/>
    <s v="No"/>
    <s v="Y"/>
    <n v="2"/>
    <n v="-2"/>
    <n v="0"/>
    <n v="37"/>
    <n v="1"/>
    <n v="1"/>
    <n v="1"/>
    <n v="0"/>
    <n v="1141"/>
    <n v="11"/>
    <x v="0"/>
    <n v="1"/>
    <n v="1"/>
    <n v="61"/>
    <n v="1"/>
    <n v="2"/>
    <n v="3"/>
    <n v="4777"/>
    <n v="14382"/>
    <n v="5"/>
    <n v="15"/>
    <n v="3"/>
    <n v="1"/>
    <n v="80"/>
    <n v="0"/>
    <n v="15"/>
    <n v="1"/>
    <n v="1"/>
    <n v="0"/>
    <n v="0"/>
    <n v="0"/>
  </r>
  <r>
    <x v="1"/>
    <s v="Travel_Frequently"/>
    <x v="3"/>
    <s v="Current Employees"/>
    <x v="1"/>
    <x v="2"/>
    <s v="STAFF-1034"/>
    <n v="1034"/>
    <x v="1"/>
    <x v="4"/>
    <x v="1"/>
    <s v="Yes"/>
    <s v="Y"/>
    <n v="3"/>
    <n v="-2"/>
    <n v="0"/>
    <n v="55"/>
    <n v="0"/>
    <m/>
    <n v="0"/>
    <n v="1"/>
    <n v="135"/>
    <n v="18"/>
    <x v="2"/>
    <n v="1"/>
    <n v="3"/>
    <n v="62"/>
    <n v="3"/>
    <n v="2"/>
    <n v="3"/>
    <n v="6385"/>
    <n v="12992"/>
    <n v="3"/>
    <n v="14"/>
    <n v="3"/>
    <n v="4"/>
    <n v="80"/>
    <n v="2"/>
    <n v="17"/>
    <n v="3"/>
    <n v="8"/>
    <n v="7"/>
    <n v="6"/>
    <n v="7"/>
  </r>
  <r>
    <x v="1"/>
    <s v="Non-Travel"/>
    <x v="0"/>
    <s v="Current Employees"/>
    <x v="1"/>
    <x v="0"/>
    <s v="STAFF-1035"/>
    <n v="1035"/>
    <x v="0"/>
    <x v="7"/>
    <x v="2"/>
    <s v="No"/>
    <s v="Y"/>
    <n v="3"/>
    <n v="-2"/>
    <n v="0"/>
    <n v="41"/>
    <n v="0"/>
    <m/>
    <n v="0"/>
    <n v="1"/>
    <n v="247"/>
    <n v="7"/>
    <x v="1"/>
    <n v="1"/>
    <n v="2"/>
    <n v="55"/>
    <n v="1"/>
    <n v="5"/>
    <n v="1"/>
    <n v="19973"/>
    <n v="20284"/>
    <n v="1"/>
    <n v="22"/>
    <n v="4"/>
    <n v="2"/>
    <n v="80"/>
    <n v="2"/>
    <n v="21"/>
    <n v="3"/>
    <n v="21"/>
    <n v="16"/>
    <n v="5"/>
    <n v="10"/>
  </r>
  <r>
    <x v="1"/>
    <s v="Travel_Rarely"/>
    <x v="0"/>
    <s v="Current Employees"/>
    <x v="0"/>
    <x v="0"/>
    <s v="STAFF-1036"/>
    <n v="1036"/>
    <x v="1"/>
    <x v="0"/>
    <x v="0"/>
    <s v="Yes"/>
    <s v="Y"/>
    <n v="1"/>
    <n v="-2"/>
    <n v="0"/>
    <n v="38"/>
    <n v="0"/>
    <m/>
    <n v="0"/>
    <n v="1"/>
    <n v="1035"/>
    <n v="3"/>
    <x v="2"/>
    <n v="1"/>
    <n v="2"/>
    <n v="42"/>
    <n v="3"/>
    <n v="2"/>
    <n v="1"/>
    <n v="6861"/>
    <n v="4981"/>
    <n v="8"/>
    <n v="12"/>
    <n v="3"/>
    <n v="3"/>
    <n v="80"/>
    <n v="0"/>
    <n v="19"/>
    <n v="3"/>
    <n v="1"/>
    <n v="0"/>
    <n v="0"/>
    <n v="0"/>
  </r>
  <r>
    <x v="0"/>
    <s v="Non-Travel"/>
    <x v="2"/>
    <s v="Ex-Employees"/>
    <x v="0"/>
    <x v="2"/>
    <s v="STAFF-1037"/>
    <n v="1037"/>
    <x v="1"/>
    <x v="0"/>
    <x v="0"/>
    <s v="No"/>
    <s v="Y"/>
    <n v="6"/>
    <n v="-2"/>
    <n v="0"/>
    <n v="26"/>
    <n v="1"/>
    <n v="1"/>
    <n v="1"/>
    <n v="0"/>
    <n v="265"/>
    <n v="29"/>
    <x v="0"/>
    <n v="1"/>
    <n v="2"/>
    <n v="79"/>
    <n v="1"/>
    <n v="2"/>
    <n v="3"/>
    <n v="4969"/>
    <n v="21813"/>
    <n v="8"/>
    <n v="18"/>
    <n v="3"/>
    <n v="4"/>
    <n v="80"/>
    <n v="0"/>
    <n v="7"/>
    <n v="3"/>
    <n v="2"/>
    <n v="2"/>
    <n v="2"/>
    <n v="2"/>
  </r>
  <r>
    <x v="0"/>
    <s v="Travel_Rarely"/>
    <x v="1"/>
    <s v="Ex-Employees"/>
    <x v="0"/>
    <x v="3"/>
    <s v="STAFF-1038"/>
    <n v="1038"/>
    <x v="0"/>
    <x v="5"/>
    <x v="1"/>
    <s v="No"/>
    <s v="Y"/>
    <n v="3"/>
    <n v="-2"/>
    <n v="0"/>
    <n v="52"/>
    <n v="1"/>
    <n v="1"/>
    <n v="1"/>
    <n v="0"/>
    <n v="266"/>
    <n v="2"/>
    <x v="1"/>
    <n v="1"/>
    <n v="1"/>
    <n v="57"/>
    <n v="1"/>
    <n v="5"/>
    <n v="2"/>
    <n v="19845"/>
    <n v="25846"/>
    <n v="1"/>
    <n v="15"/>
    <n v="3"/>
    <n v="4"/>
    <n v="80"/>
    <n v="1"/>
    <n v="33"/>
    <n v="3"/>
    <n v="32"/>
    <n v="14"/>
    <n v="6"/>
    <n v="9"/>
  </r>
  <r>
    <x v="1"/>
    <s v="Travel_Rarely"/>
    <x v="0"/>
    <s v="Current Employees"/>
    <x v="0"/>
    <x v="2"/>
    <s v="STAFF-1039"/>
    <n v="1039"/>
    <x v="0"/>
    <x v="0"/>
    <x v="1"/>
    <s v="Yes"/>
    <s v="Y"/>
    <n v="2"/>
    <n v="-2"/>
    <n v="0"/>
    <n v="44"/>
    <n v="0"/>
    <m/>
    <n v="0"/>
    <n v="1"/>
    <n v="1448"/>
    <n v="28"/>
    <x v="3"/>
    <n v="1"/>
    <n v="4"/>
    <n v="53"/>
    <n v="4"/>
    <n v="4"/>
    <n v="4"/>
    <n v="13320"/>
    <n v="11737"/>
    <n v="3"/>
    <n v="18"/>
    <n v="3"/>
    <n v="3"/>
    <n v="80"/>
    <n v="1"/>
    <n v="23"/>
    <n v="3"/>
    <n v="12"/>
    <n v="11"/>
    <n v="11"/>
    <n v="11"/>
  </r>
  <r>
    <x v="1"/>
    <s v="Non-Travel"/>
    <x v="1"/>
    <s v="Current Employees"/>
    <x v="0"/>
    <x v="0"/>
    <s v="STAFF-1040"/>
    <n v="1040"/>
    <x v="0"/>
    <x v="0"/>
    <x v="1"/>
    <s v="No"/>
    <s v="Y"/>
    <n v="3"/>
    <n v="-2"/>
    <n v="0"/>
    <n v="50"/>
    <n v="0"/>
    <m/>
    <n v="0"/>
    <n v="1"/>
    <n v="145"/>
    <n v="1"/>
    <x v="3"/>
    <n v="1"/>
    <n v="4"/>
    <n v="95"/>
    <n v="3"/>
    <n v="2"/>
    <n v="1"/>
    <n v="6347"/>
    <n v="24920"/>
    <n v="0"/>
    <n v="12"/>
    <n v="3"/>
    <n v="1"/>
    <n v="80"/>
    <n v="1"/>
    <n v="19"/>
    <n v="3"/>
    <n v="18"/>
    <n v="7"/>
    <n v="0"/>
    <n v="13"/>
  </r>
  <r>
    <x v="0"/>
    <s v="Travel_Rarely"/>
    <x v="0"/>
    <s v="Ex-Employees"/>
    <x v="1"/>
    <x v="0"/>
    <s v="STAFF-1042"/>
    <n v="1042"/>
    <x v="0"/>
    <x v="2"/>
    <x v="0"/>
    <s v="No"/>
    <s v="Y"/>
    <n v="1"/>
    <n v="-2"/>
    <n v="0"/>
    <n v="36"/>
    <n v="1"/>
    <n v="1"/>
    <n v="1"/>
    <n v="0"/>
    <n v="885"/>
    <n v="16"/>
    <x v="2"/>
    <n v="1"/>
    <n v="3"/>
    <n v="43"/>
    <n v="4"/>
    <n v="1"/>
    <n v="1"/>
    <n v="2743"/>
    <n v="8269"/>
    <n v="1"/>
    <n v="16"/>
    <n v="3"/>
    <n v="3"/>
    <n v="80"/>
    <n v="0"/>
    <n v="18"/>
    <n v="3"/>
    <n v="17"/>
    <n v="13"/>
    <n v="15"/>
    <n v="14"/>
  </r>
  <r>
    <x v="1"/>
    <s v="Travel_Frequently"/>
    <x v="0"/>
    <s v="Current Employees"/>
    <x v="1"/>
    <x v="2"/>
    <s v="STAFF-1043"/>
    <n v="1043"/>
    <x v="0"/>
    <x v="3"/>
    <x v="0"/>
    <s v="Yes"/>
    <s v="Y"/>
    <n v="2"/>
    <n v="-2"/>
    <n v="0"/>
    <n v="39"/>
    <n v="0"/>
    <m/>
    <n v="0"/>
    <n v="1"/>
    <n v="945"/>
    <n v="22"/>
    <x v="3"/>
    <n v="1"/>
    <n v="4"/>
    <n v="82"/>
    <n v="3"/>
    <n v="3"/>
    <n v="3"/>
    <n v="10880"/>
    <n v="5083"/>
    <n v="1"/>
    <n v="13"/>
    <n v="3"/>
    <n v="3"/>
    <n v="80"/>
    <n v="0"/>
    <n v="21"/>
    <n v="3"/>
    <n v="21"/>
    <n v="6"/>
    <n v="2"/>
    <n v="8"/>
  </r>
  <r>
    <x v="1"/>
    <s v="Non-Travel"/>
    <x v="2"/>
    <s v="Current Employees"/>
    <x v="0"/>
    <x v="0"/>
    <s v="STAFF-1044"/>
    <n v="1044"/>
    <x v="0"/>
    <x v="6"/>
    <x v="0"/>
    <s v="No"/>
    <s v="Y"/>
    <n v="2"/>
    <n v="-2"/>
    <n v="0"/>
    <n v="33"/>
    <n v="0"/>
    <m/>
    <n v="0"/>
    <n v="1"/>
    <n v="1038"/>
    <n v="8"/>
    <x v="1"/>
    <n v="1"/>
    <n v="2"/>
    <n v="88"/>
    <n v="2"/>
    <n v="1"/>
    <n v="1"/>
    <n v="2342"/>
    <n v="21437"/>
    <n v="0"/>
    <n v="19"/>
    <n v="3"/>
    <n v="4"/>
    <n v="80"/>
    <n v="0"/>
    <n v="3"/>
    <n v="2"/>
    <n v="2"/>
    <n v="2"/>
    <n v="2"/>
    <n v="2"/>
  </r>
  <r>
    <x v="1"/>
    <s v="Travel_Rarely"/>
    <x v="1"/>
    <s v="Current Employees"/>
    <x v="0"/>
    <x v="0"/>
    <s v="STAFF-1045"/>
    <n v="1045"/>
    <x v="0"/>
    <x v="5"/>
    <x v="1"/>
    <s v="No"/>
    <s v="Y"/>
    <n v="4"/>
    <n v="-2"/>
    <n v="0"/>
    <n v="45"/>
    <n v="0"/>
    <m/>
    <n v="0"/>
    <n v="1"/>
    <n v="1234"/>
    <n v="11"/>
    <x v="0"/>
    <n v="1"/>
    <n v="4"/>
    <n v="90"/>
    <n v="3"/>
    <n v="4"/>
    <n v="1"/>
    <n v="17650"/>
    <n v="5404"/>
    <n v="3"/>
    <n v="13"/>
    <n v="3"/>
    <n v="2"/>
    <n v="80"/>
    <n v="1"/>
    <n v="26"/>
    <n v="4"/>
    <n v="9"/>
    <n v="3"/>
    <n v="1"/>
    <n v="1"/>
  </r>
  <r>
    <x v="1"/>
    <s v="Non-Travel"/>
    <x v="2"/>
    <s v="Current Employees"/>
    <x v="1"/>
    <x v="2"/>
    <s v="STAFF-1046"/>
    <n v="1046"/>
    <x v="0"/>
    <x v="2"/>
    <x v="0"/>
    <s v="No"/>
    <s v="Y"/>
    <n v="2"/>
    <n v="-2"/>
    <n v="0"/>
    <n v="32"/>
    <n v="0"/>
    <m/>
    <n v="0"/>
    <n v="1"/>
    <n v="1109"/>
    <n v="29"/>
    <x v="2"/>
    <n v="1"/>
    <n v="4"/>
    <n v="69"/>
    <n v="3"/>
    <n v="1"/>
    <n v="3"/>
    <n v="4025"/>
    <n v="11135"/>
    <n v="9"/>
    <n v="12"/>
    <n v="3"/>
    <n v="2"/>
    <n v="80"/>
    <n v="0"/>
    <n v="10"/>
    <n v="3"/>
    <n v="8"/>
    <n v="7"/>
    <n v="7"/>
    <n v="7"/>
  </r>
  <r>
    <x v="1"/>
    <s v="Travel_Rarely"/>
    <x v="2"/>
    <s v="Current Employees"/>
    <x v="0"/>
    <x v="3"/>
    <s v="STAFF-1047"/>
    <n v="1047"/>
    <x v="1"/>
    <x v="0"/>
    <x v="2"/>
    <s v="No"/>
    <s v="Y"/>
    <n v="2"/>
    <n v="-2"/>
    <n v="0"/>
    <n v="34"/>
    <n v="0"/>
    <m/>
    <n v="0"/>
    <n v="1"/>
    <n v="216"/>
    <n v="1"/>
    <x v="2"/>
    <n v="1"/>
    <n v="2"/>
    <n v="75"/>
    <n v="4"/>
    <n v="2"/>
    <n v="2"/>
    <n v="9725"/>
    <n v="12278"/>
    <n v="0"/>
    <n v="11"/>
    <n v="3"/>
    <n v="4"/>
    <n v="80"/>
    <n v="1"/>
    <n v="16"/>
    <n v="2"/>
    <n v="15"/>
    <n v="1"/>
    <n v="0"/>
    <n v="9"/>
  </r>
  <r>
    <x v="1"/>
    <s v="Travel_Rarely"/>
    <x v="3"/>
    <s v="Current Employees"/>
    <x v="0"/>
    <x v="4"/>
    <s v="STAFF-1048"/>
    <n v="1048"/>
    <x v="1"/>
    <x v="5"/>
    <x v="1"/>
    <s v="Yes"/>
    <s v="Y"/>
    <n v="1"/>
    <n v="-2"/>
    <n v="0"/>
    <n v="59"/>
    <n v="0"/>
    <m/>
    <n v="0"/>
    <n v="1"/>
    <n v="1089"/>
    <n v="1"/>
    <x v="0"/>
    <n v="1"/>
    <n v="4"/>
    <n v="66"/>
    <n v="3"/>
    <n v="3"/>
    <n v="4"/>
    <n v="11904"/>
    <n v="11038"/>
    <n v="3"/>
    <n v="14"/>
    <n v="3"/>
    <n v="3"/>
    <n v="80"/>
    <n v="1"/>
    <n v="14"/>
    <n v="1"/>
    <n v="6"/>
    <n v="4"/>
    <n v="0"/>
    <n v="4"/>
  </r>
  <r>
    <x v="1"/>
    <s v="Travel_Rarely"/>
    <x v="1"/>
    <s v="Current Employees"/>
    <x v="2"/>
    <x v="2"/>
    <s v="STAFF-1049"/>
    <n v="1049"/>
    <x v="1"/>
    <x v="8"/>
    <x v="0"/>
    <s v="No"/>
    <s v="Y"/>
    <n v="3"/>
    <n v="-2"/>
    <n v="0"/>
    <n v="45"/>
    <n v="0"/>
    <m/>
    <n v="0"/>
    <n v="1"/>
    <n v="788"/>
    <n v="24"/>
    <x v="2"/>
    <n v="1"/>
    <n v="2"/>
    <n v="36"/>
    <n v="3"/>
    <n v="1"/>
    <n v="3"/>
    <n v="2177"/>
    <n v="8318"/>
    <n v="1"/>
    <n v="16"/>
    <n v="3"/>
    <n v="1"/>
    <n v="80"/>
    <n v="0"/>
    <n v="6"/>
    <n v="3"/>
    <n v="6"/>
    <n v="3"/>
    <n v="0"/>
    <n v="4"/>
  </r>
  <r>
    <x v="1"/>
    <s v="Travel_Frequently"/>
    <x v="1"/>
    <s v="Current Employees"/>
    <x v="0"/>
    <x v="3"/>
    <s v="STAFF-1050"/>
    <n v="1050"/>
    <x v="0"/>
    <x v="0"/>
    <x v="1"/>
    <s v="No"/>
    <s v="Y"/>
    <n v="2"/>
    <n v="-2"/>
    <n v="0"/>
    <n v="53"/>
    <n v="0"/>
    <m/>
    <n v="0"/>
    <n v="1"/>
    <n v="124"/>
    <n v="2"/>
    <x v="3"/>
    <n v="1"/>
    <n v="3"/>
    <n v="38"/>
    <n v="2"/>
    <n v="3"/>
    <n v="2"/>
    <n v="7525"/>
    <n v="23537"/>
    <n v="2"/>
    <n v="12"/>
    <n v="3"/>
    <n v="1"/>
    <n v="80"/>
    <n v="1"/>
    <n v="30"/>
    <n v="3"/>
    <n v="15"/>
    <n v="7"/>
    <n v="6"/>
    <n v="12"/>
  </r>
  <r>
    <x v="0"/>
    <s v="Travel_Rarely"/>
    <x v="0"/>
    <s v="Ex-Employees"/>
    <x v="1"/>
    <x v="1"/>
    <s v="STAFF-1052"/>
    <n v="1052"/>
    <x v="1"/>
    <x v="2"/>
    <x v="2"/>
    <s v="No"/>
    <s v="Y"/>
    <n v="3"/>
    <n v="-2"/>
    <n v="0"/>
    <n v="36"/>
    <n v="1"/>
    <n v="1"/>
    <n v="1"/>
    <n v="0"/>
    <n v="660"/>
    <n v="15"/>
    <x v="3"/>
    <n v="1"/>
    <n v="1"/>
    <n v="81"/>
    <n v="3"/>
    <n v="2"/>
    <n v="3"/>
    <n v="4834"/>
    <n v="7858"/>
    <n v="7"/>
    <n v="14"/>
    <n v="3"/>
    <n v="2"/>
    <n v="80"/>
    <n v="1"/>
    <n v="9"/>
    <n v="2"/>
    <n v="1"/>
    <n v="0"/>
    <n v="0"/>
    <n v="0"/>
  </r>
  <r>
    <x v="0"/>
    <s v="Travel_Frequently"/>
    <x v="2"/>
    <s v="Ex-Employees"/>
    <x v="1"/>
    <x v="0"/>
    <s v="STAFF-1053"/>
    <n v="1053"/>
    <x v="1"/>
    <x v="1"/>
    <x v="1"/>
    <s v="Yes"/>
    <s v="Y"/>
    <n v="2"/>
    <n v="-2"/>
    <n v="0"/>
    <n v="26"/>
    <n v="1"/>
    <n v="1"/>
    <n v="1"/>
    <n v="0"/>
    <n v="342"/>
    <n v="2"/>
    <x v="3"/>
    <n v="1"/>
    <n v="1"/>
    <n v="57"/>
    <n v="3"/>
    <n v="1"/>
    <n v="1"/>
    <n v="2042"/>
    <n v="15346"/>
    <n v="6"/>
    <n v="14"/>
    <n v="3"/>
    <n v="2"/>
    <n v="80"/>
    <n v="1"/>
    <n v="6"/>
    <n v="3"/>
    <n v="3"/>
    <n v="2"/>
    <n v="1"/>
    <n v="2"/>
  </r>
  <r>
    <x v="1"/>
    <s v="Travel_Rarely"/>
    <x v="2"/>
    <s v="Current Employees"/>
    <x v="0"/>
    <x v="0"/>
    <s v="STAFF-1055"/>
    <n v="1055"/>
    <x v="0"/>
    <x v="6"/>
    <x v="1"/>
    <s v="Yes"/>
    <s v="Y"/>
    <n v="2"/>
    <n v="-2"/>
    <n v="0"/>
    <n v="34"/>
    <n v="0"/>
    <m/>
    <n v="0"/>
    <n v="1"/>
    <n v="1333"/>
    <n v="10"/>
    <x v="2"/>
    <n v="1"/>
    <n v="3"/>
    <n v="87"/>
    <n v="3"/>
    <n v="1"/>
    <n v="1"/>
    <n v="2220"/>
    <n v="18410"/>
    <n v="1"/>
    <n v="19"/>
    <n v="3"/>
    <n v="4"/>
    <n v="80"/>
    <n v="1"/>
    <n v="1"/>
    <n v="3"/>
    <n v="1"/>
    <n v="1"/>
    <n v="0"/>
    <n v="0"/>
  </r>
  <r>
    <x v="1"/>
    <s v="Travel_Rarely"/>
    <x v="2"/>
    <s v="Current Employees"/>
    <x v="0"/>
    <x v="2"/>
    <s v="STAFF-1056"/>
    <n v="1056"/>
    <x v="1"/>
    <x v="6"/>
    <x v="1"/>
    <s v="No"/>
    <s v="Y"/>
    <n v="5"/>
    <n v="-2"/>
    <n v="0"/>
    <n v="28"/>
    <n v="0"/>
    <m/>
    <n v="0"/>
    <n v="1"/>
    <n v="1144"/>
    <n v="10"/>
    <x v="1"/>
    <n v="1"/>
    <n v="4"/>
    <n v="74"/>
    <n v="3"/>
    <n v="1"/>
    <n v="3"/>
    <n v="1052"/>
    <n v="23384"/>
    <n v="1"/>
    <n v="22"/>
    <n v="4"/>
    <n v="2"/>
    <n v="80"/>
    <n v="0"/>
    <n v="1"/>
    <n v="3"/>
    <n v="1"/>
    <n v="0"/>
    <n v="0"/>
    <n v="0"/>
  </r>
  <r>
    <x v="1"/>
    <s v="Travel_Frequently"/>
    <x v="0"/>
    <s v="Current Employees"/>
    <x v="1"/>
    <x v="1"/>
    <s v="STAFF-1060"/>
    <n v="1060"/>
    <x v="1"/>
    <x v="1"/>
    <x v="1"/>
    <s v="No"/>
    <s v="Y"/>
    <n v="2"/>
    <n v="-2"/>
    <n v="0"/>
    <n v="38"/>
    <n v="0"/>
    <m/>
    <n v="0"/>
    <n v="1"/>
    <n v="1186"/>
    <n v="3"/>
    <x v="2"/>
    <n v="1"/>
    <n v="3"/>
    <n v="44"/>
    <n v="3"/>
    <n v="1"/>
    <n v="3"/>
    <n v="2821"/>
    <n v="2997"/>
    <n v="3"/>
    <n v="16"/>
    <n v="3"/>
    <n v="1"/>
    <n v="80"/>
    <n v="1"/>
    <n v="8"/>
    <n v="3"/>
    <n v="2"/>
    <n v="2"/>
    <n v="2"/>
    <n v="2"/>
  </r>
  <r>
    <x v="1"/>
    <s v="Travel_Rarely"/>
    <x v="1"/>
    <s v="Current Employees"/>
    <x v="1"/>
    <x v="2"/>
    <s v="STAFF-1061"/>
    <n v="1061"/>
    <x v="1"/>
    <x v="7"/>
    <x v="1"/>
    <s v="Yes"/>
    <s v="Y"/>
    <n v="2"/>
    <n v="-2"/>
    <n v="0"/>
    <n v="50"/>
    <n v="0"/>
    <m/>
    <n v="0"/>
    <n v="1"/>
    <n v="1464"/>
    <n v="2"/>
    <x v="2"/>
    <n v="1"/>
    <n v="2"/>
    <n v="62"/>
    <n v="3"/>
    <n v="5"/>
    <n v="3"/>
    <n v="19237"/>
    <n v="12853"/>
    <n v="2"/>
    <n v="11"/>
    <n v="3"/>
    <n v="4"/>
    <n v="80"/>
    <n v="1"/>
    <n v="29"/>
    <n v="2"/>
    <n v="8"/>
    <n v="1"/>
    <n v="7"/>
    <n v="7"/>
  </r>
  <r>
    <x v="1"/>
    <s v="Travel_Rarely"/>
    <x v="0"/>
    <s v="Current Employees"/>
    <x v="1"/>
    <x v="1"/>
    <s v="STAFF-1062"/>
    <n v="1062"/>
    <x v="0"/>
    <x v="4"/>
    <x v="0"/>
    <s v="No"/>
    <s v="Y"/>
    <n v="3"/>
    <n v="-2"/>
    <n v="0"/>
    <n v="37"/>
    <n v="0"/>
    <m/>
    <n v="0"/>
    <n v="1"/>
    <n v="124"/>
    <n v="3"/>
    <x v="3"/>
    <n v="1"/>
    <n v="4"/>
    <n v="35"/>
    <n v="3"/>
    <n v="2"/>
    <n v="3"/>
    <n v="4107"/>
    <n v="13848"/>
    <n v="3"/>
    <n v="15"/>
    <n v="3"/>
    <n v="1"/>
    <n v="80"/>
    <n v="0"/>
    <n v="8"/>
    <n v="2"/>
    <n v="4"/>
    <n v="3"/>
    <n v="0"/>
    <n v="1"/>
  </r>
  <r>
    <x v="1"/>
    <s v="Travel_Rarely"/>
    <x v="0"/>
    <s v="Current Employees"/>
    <x v="0"/>
    <x v="3"/>
    <s v="STAFF-1066"/>
    <n v="1066"/>
    <x v="1"/>
    <x v="0"/>
    <x v="1"/>
    <s v="No"/>
    <s v="Y"/>
    <n v="3"/>
    <n v="-2"/>
    <n v="0"/>
    <n v="40"/>
    <n v="0"/>
    <m/>
    <n v="0"/>
    <n v="1"/>
    <n v="300"/>
    <n v="26"/>
    <x v="3"/>
    <n v="1"/>
    <n v="3"/>
    <n v="74"/>
    <n v="3"/>
    <n v="2"/>
    <n v="2"/>
    <n v="8396"/>
    <n v="22217"/>
    <n v="1"/>
    <n v="14"/>
    <n v="3"/>
    <n v="2"/>
    <n v="80"/>
    <n v="1"/>
    <n v="8"/>
    <n v="2"/>
    <n v="7"/>
    <n v="7"/>
    <n v="7"/>
    <n v="5"/>
  </r>
  <r>
    <x v="1"/>
    <s v="Travel_Frequently"/>
    <x v="2"/>
    <s v="Current Employees"/>
    <x v="1"/>
    <x v="2"/>
    <s v="STAFF-1068"/>
    <n v="1068"/>
    <x v="0"/>
    <x v="1"/>
    <x v="2"/>
    <s v="No"/>
    <s v="Y"/>
    <n v="5"/>
    <n v="-2"/>
    <n v="0"/>
    <n v="26"/>
    <n v="0"/>
    <m/>
    <n v="0"/>
    <n v="1"/>
    <n v="921"/>
    <n v="1"/>
    <x v="1"/>
    <n v="1"/>
    <n v="1"/>
    <n v="66"/>
    <n v="2"/>
    <n v="1"/>
    <n v="3"/>
    <n v="2007"/>
    <n v="25265"/>
    <n v="1"/>
    <n v="13"/>
    <n v="3"/>
    <n v="3"/>
    <n v="80"/>
    <n v="2"/>
    <n v="5"/>
    <n v="3"/>
    <n v="5"/>
    <n v="3"/>
    <n v="1"/>
    <n v="3"/>
  </r>
  <r>
    <x v="1"/>
    <s v="Travel_Rarely"/>
    <x v="1"/>
    <s v="Current Employees"/>
    <x v="1"/>
    <x v="2"/>
    <s v="STAFF-1069"/>
    <n v="1069"/>
    <x v="1"/>
    <x v="7"/>
    <x v="2"/>
    <s v="No"/>
    <s v="Y"/>
    <n v="0"/>
    <n v="-2"/>
    <n v="0"/>
    <n v="46"/>
    <n v="0"/>
    <m/>
    <n v="0"/>
    <n v="1"/>
    <n v="430"/>
    <n v="1"/>
    <x v="2"/>
    <n v="1"/>
    <n v="4"/>
    <n v="40"/>
    <n v="3"/>
    <n v="5"/>
    <n v="4"/>
    <n v="19627"/>
    <n v="21445"/>
    <n v="9"/>
    <n v="17"/>
    <n v="3"/>
    <n v="4"/>
    <n v="80"/>
    <n v="2"/>
    <n v="23"/>
    <n v="3"/>
    <n v="2"/>
    <n v="2"/>
    <n v="2"/>
    <n v="2"/>
  </r>
  <r>
    <x v="1"/>
    <s v="Travel_Rarely"/>
    <x v="1"/>
    <s v="Current Employees"/>
    <x v="0"/>
    <x v="0"/>
    <s v="STAFF-1070"/>
    <n v="1070"/>
    <x v="0"/>
    <x v="0"/>
    <x v="1"/>
    <s v="No"/>
    <s v="Y"/>
    <n v="4"/>
    <n v="-2"/>
    <n v="0"/>
    <n v="54"/>
    <n v="0"/>
    <m/>
    <n v="0"/>
    <n v="1"/>
    <n v="1082"/>
    <n v="2"/>
    <x v="2"/>
    <n v="1"/>
    <n v="3"/>
    <n v="41"/>
    <n v="2"/>
    <n v="3"/>
    <n v="1"/>
    <n v="10686"/>
    <n v="8392"/>
    <n v="6"/>
    <n v="11"/>
    <n v="3"/>
    <n v="2"/>
    <n v="80"/>
    <n v="1"/>
    <n v="13"/>
    <n v="3"/>
    <n v="9"/>
    <n v="4"/>
    <n v="7"/>
    <n v="0"/>
  </r>
  <r>
    <x v="1"/>
    <s v="Travel_Frequently"/>
    <x v="3"/>
    <s v="Current Employees"/>
    <x v="1"/>
    <x v="2"/>
    <s v="STAFF-1071"/>
    <n v="1071"/>
    <x v="0"/>
    <x v="1"/>
    <x v="1"/>
    <s v="No"/>
    <s v="Y"/>
    <n v="4"/>
    <n v="-2"/>
    <n v="0"/>
    <n v="56"/>
    <n v="0"/>
    <m/>
    <n v="0"/>
    <n v="1"/>
    <n v="1240"/>
    <n v="9"/>
    <x v="3"/>
    <n v="1"/>
    <n v="1"/>
    <n v="63"/>
    <n v="3"/>
    <n v="1"/>
    <n v="3"/>
    <n v="2942"/>
    <n v="12154"/>
    <n v="2"/>
    <n v="19"/>
    <n v="3"/>
    <n v="2"/>
    <n v="80"/>
    <n v="1"/>
    <n v="18"/>
    <n v="3"/>
    <n v="5"/>
    <n v="4"/>
    <n v="0"/>
    <n v="3"/>
  </r>
  <r>
    <x v="1"/>
    <s v="Travel_Rarely"/>
    <x v="0"/>
    <s v="Current Employees"/>
    <x v="1"/>
    <x v="2"/>
    <s v="STAFF-1073"/>
    <n v="1073"/>
    <x v="0"/>
    <x v="3"/>
    <x v="0"/>
    <s v="No"/>
    <s v="Y"/>
    <n v="2"/>
    <n v="-2"/>
    <n v="0"/>
    <n v="36"/>
    <n v="0"/>
    <m/>
    <n v="0"/>
    <n v="1"/>
    <n v="796"/>
    <n v="12"/>
    <x v="4"/>
    <n v="1"/>
    <n v="4"/>
    <n v="51"/>
    <n v="2"/>
    <n v="3"/>
    <n v="4"/>
    <n v="8858"/>
    <n v="15669"/>
    <n v="0"/>
    <n v="11"/>
    <n v="3"/>
    <n v="2"/>
    <n v="80"/>
    <n v="0"/>
    <n v="15"/>
    <n v="2"/>
    <n v="14"/>
    <n v="8"/>
    <n v="7"/>
    <n v="8"/>
  </r>
  <r>
    <x v="1"/>
    <s v="Non-Travel"/>
    <x v="3"/>
    <s v="Current Employees"/>
    <x v="1"/>
    <x v="2"/>
    <s v="STAFF-1074"/>
    <n v="1074"/>
    <x v="1"/>
    <x v="5"/>
    <x v="0"/>
    <s v="No"/>
    <s v="Y"/>
    <n v="3"/>
    <n v="-2"/>
    <n v="0"/>
    <n v="55"/>
    <n v="0"/>
    <m/>
    <n v="0"/>
    <n v="1"/>
    <n v="444"/>
    <n v="2"/>
    <x v="1"/>
    <n v="1"/>
    <n v="3"/>
    <n v="40"/>
    <n v="2"/>
    <n v="4"/>
    <n v="3"/>
    <n v="16756"/>
    <n v="17323"/>
    <n v="7"/>
    <n v="15"/>
    <n v="3"/>
    <n v="2"/>
    <n v="80"/>
    <n v="0"/>
    <n v="31"/>
    <n v="4"/>
    <n v="9"/>
    <n v="7"/>
    <n v="6"/>
    <n v="2"/>
  </r>
  <r>
    <x v="1"/>
    <s v="Travel_Rarely"/>
    <x v="0"/>
    <s v="Current Employees"/>
    <x v="0"/>
    <x v="2"/>
    <s v="STAFF-1076"/>
    <n v="1076"/>
    <x v="1"/>
    <x v="0"/>
    <x v="2"/>
    <s v="No"/>
    <s v="Y"/>
    <n v="5"/>
    <n v="-2"/>
    <n v="0"/>
    <n v="43"/>
    <n v="0"/>
    <m/>
    <n v="0"/>
    <n v="1"/>
    <n v="415"/>
    <n v="25"/>
    <x v="3"/>
    <n v="1"/>
    <n v="3"/>
    <n v="79"/>
    <n v="2"/>
    <n v="3"/>
    <n v="4"/>
    <n v="10798"/>
    <n v="5268"/>
    <n v="5"/>
    <n v="13"/>
    <n v="3"/>
    <n v="3"/>
    <n v="80"/>
    <n v="1"/>
    <n v="18"/>
    <n v="3"/>
    <n v="1"/>
    <n v="0"/>
    <n v="0"/>
    <n v="0"/>
  </r>
  <r>
    <x v="0"/>
    <s v="Travel_Frequently"/>
    <x v="4"/>
    <s v="Ex-Employees"/>
    <x v="0"/>
    <x v="3"/>
    <s v="STAFF-1077"/>
    <n v="1077"/>
    <x v="0"/>
    <x v="6"/>
    <x v="0"/>
    <s v="Yes"/>
    <s v="Y"/>
    <n v="3"/>
    <n v="-2"/>
    <n v="0"/>
    <n v="20"/>
    <n v="1"/>
    <n v="1"/>
    <n v="1"/>
    <n v="0"/>
    <n v="769"/>
    <n v="9"/>
    <x v="3"/>
    <n v="1"/>
    <n v="4"/>
    <n v="54"/>
    <n v="3"/>
    <n v="1"/>
    <n v="2"/>
    <n v="2323"/>
    <n v="17205"/>
    <n v="1"/>
    <n v="14"/>
    <n v="3"/>
    <n v="2"/>
    <n v="80"/>
    <n v="0"/>
    <n v="2"/>
    <n v="3"/>
    <n v="2"/>
    <n v="2"/>
    <n v="0"/>
    <n v="2"/>
  </r>
  <r>
    <x v="0"/>
    <s v="Travel_Rarely"/>
    <x v="4"/>
    <s v="Ex-Employees"/>
    <x v="1"/>
    <x v="0"/>
    <s v="STAFF-1079"/>
    <n v="1079"/>
    <x v="0"/>
    <x v="2"/>
    <x v="0"/>
    <s v="No"/>
    <s v="Y"/>
    <n v="6"/>
    <n v="-2"/>
    <n v="0"/>
    <n v="21"/>
    <n v="1"/>
    <n v="1"/>
    <n v="1"/>
    <n v="0"/>
    <n v="1334"/>
    <n v="10"/>
    <x v="3"/>
    <n v="1"/>
    <n v="3"/>
    <n v="36"/>
    <n v="2"/>
    <n v="1"/>
    <n v="1"/>
    <n v="1416"/>
    <n v="17258"/>
    <n v="1"/>
    <n v="13"/>
    <n v="3"/>
    <n v="1"/>
    <n v="80"/>
    <n v="0"/>
    <n v="1"/>
    <n v="2"/>
    <n v="1"/>
    <n v="0"/>
    <n v="1"/>
    <n v="0"/>
  </r>
  <r>
    <x v="1"/>
    <s v="Travel_Rarely"/>
    <x v="1"/>
    <s v="Current Employees"/>
    <x v="1"/>
    <x v="0"/>
    <s v="STAFF-1080"/>
    <n v="1080"/>
    <x v="0"/>
    <x v="1"/>
    <x v="2"/>
    <s v="Yes"/>
    <s v="Y"/>
    <n v="2"/>
    <n v="-2"/>
    <n v="0"/>
    <n v="46"/>
    <n v="0"/>
    <m/>
    <n v="0"/>
    <n v="1"/>
    <n v="1003"/>
    <n v="8"/>
    <x v="2"/>
    <n v="1"/>
    <n v="4"/>
    <n v="74"/>
    <n v="2"/>
    <n v="2"/>
    <n v="1"/>
    <n v="4615"/>
    <n v="21029"/>
    <n v="8"/>
    <n v="23"/>
    <n v="4"/>
    <n v="1"/>
    <n v="80"/>
    <n v="3"/>
    <n v="19"/>
    <n v="3"/>
    <n v="16"/>
    <n v="13"/>
    <n v="1"/>
    <n v="7"/>
  </r>
  <r>
    <x v="0"/>
    <s v="Travel_Rarely"/>
    <x v="1"/>
    <s v="Ex-Employees"/>
    <x v="1"/>
    <x v="0"/>
    <s v="STAFF-1081"/>
    <n v="1081"/>
    <x v="1"/>
    <x v="1"/>
    <x v="1"/>
    <s v="Yes"/>
    <s v="Y"/>
    <n v="2"/>
    <n v="-2"/>
    <n v="0"/>
    <n v="51"/>
    <n v="1"/>
    <n v="1"/>
    <n v="1"/>
    <n v="0"/>
    <n v="1323"/>
    <n v="4"/>
    <x v="2"/>
    <n v="1"/>
    <n v="1"/>
    <n v="34"/>
    <n v="3"/>
    <n v="1"/>
    <n v="1"/>
    <n v="2461"/>
    <n v="10332"/>
    <n v="9"/>
    <n v="12"/>
    <n v="3"/>
    <n v="3"/>
    <n v="80"/>
    <n v="3"/>
    <n v="18"/>
    <n v="4"/>
    <n v="10"/>
    <n v="0"/>
    <n v="2"/>
    <n v="7"/>
  </r>
  <r>
    <x v="0"/>
    <s v="Non-Travel"/>
    <x v="2"/>
    <s v="Ex-Employees"/>
    <x v="1"/>
    <x v="4"/>
    <s v="STAFF-1082"/>
    <n v="1082"/>
    <x v="1"/>
    <x v="4"/>
    <x v="0"/>
    <s v="No"/>
    <s v="Y"/>
    <n v="2"/>
    <n v="-2"/>
    <n v="0"/>
    <n v="28"/>
    <n v="1"/>
    <n v="1"/>
    <n v="1"/>
    <n v="0"/>
    <n v="1366"/>
    <n v="24"/>
    <x v="0"/>
    <n v="1"/>
    <n v="4"/>
    <n v="72"/>
    <n v="2"/>
    <n v="3"/>
    <n v="4"/>
    <n v="8722"/>
    <n v="12355"/>
    <n v="1"/>
    <n v="12"/>
    <n v="3"/>
    <n v="1"/>
    <n v="80"/>
    <n v="0"/>
    <n v="10"/>
    <n v="2"/>
    <n v="10"/>
    <n v="7"/>
    <n v="1"/>
    <n v="9"/>
  </r>
  <r>
    <x v="1"/>
    <s v="Travel_Rarely"/>
    <x v="2"/>
    <s v="Current Employees"/>
    <x v="1"/>
    <x v="2"/>
    <s v="STAFF-1083"/>
    <n v="1083"/>
    <x v="1"/>
    <x v="2"/>
    <x v="1"/>
    <s v="No"/>
    <s v="Y"/>
    <n v="2"/>
    <n v="-2"/>
    <n v="0"/>
    <n v="26"/>
    <n v="0"/>
    <m/>
    <n v="0"/>
    <n v="1"/>
    <n v="192"/>
    <n v="1"/>
    <x v="0"/>
    <n v="1"/>
    <n v="1"/>
    <n v="59"/>
    <n v="2"/>
    <n v="1"/>
    <n v="3"/>
    <n v="3955"/>
    <n v="11141"/>
    <n v="1"/>
    <n v="16"/>
    <n v="3"/>
    <n v="1"/>
    <n v="80"/>
    <n v="2"/>
    <n v="6"/>
    <n v="3"/>
    <n v="5"/>
    <n v="3"/>
    <n v="1"/>
    <n v="3"/>
  </r>
  <r>
    <x v="1"/>
    <s v="Travel_Rarely"/>
    <x v="2"/>
    <s v="Current Employees"/>
    <x v="1"/>
    <x v="1"/>
    <s v="STAFF-1084"/>
    <n v="1084"/>
    <x v="1"/>
    <x v="3"/>
    <x v="1"/>
    <s v="No"/>
    <s v="Y"/>
    <n v="1"/>
    <n v="-2"/>
    <n v="0"/>
    <n v="30"/>
    <n v="0"/>
    <m/>
    <n v="0"/>
    <n v="1"/>
    <n v="1176"/>
    <n v="20"/>
    <x v="3"/>
    <n v="1"/>
    <n v="3"/>
    <n v="85"/>
    <n v="3"/>
    <n v="2"/>
    <n v="3"/>
    <n v="9957"/>
    <n v="9096"/>
    <n v="0"/>
    <n v="15"/>
    <n v="3"/>
    <n v="3"/>
    <n v="80"/>
    <n v="1"/>
    <n v="7"/>
    <n v="2"/>
    <n v="6"/>
    <n v="2"/>
    <n v="0"/>
    <n v="2"/>
  </r>
  <r>
    <x v="1"/>
    <s v="Travel_Rarely"/>
    <x v="0"/>
    <s v="Current Employees"/>
    <x v="1"/>
    <x v="4"/>
    <s v="STAFF-1085"/>
    <n v="1085"/>
    <x v="0"/>
    <x v="1"/>
    <x v="1"/>
    <s v="No"/>
    <s v="Y"/>
    <n v="3"/>
    <n v="-2"/>
    <n v="0"/>
    <n v="41"/>
    <n v="0"/>
    <m/>
    <n v="0"/>
    <n v="1"/>
    <n v="509"/>
    <n v="7"/>
    <x v="0"/>
    <n v="1"/>
    <n v="4"/>
    <n v="43"/>
    <n v="4"/>
    <n v="1"/>
    <n v="4"/>
    <n v="3376"/>
    <n v="18863"/>
    <n v="1"/>
    <n v="13"/>
    <n v="3"/>
    <n v="3"/>
    <n v="80"/>
    <n v="0"/>
    <n v="10"/>
    <n v="3"/>
    <n v="10"/>
    <n v="6"/>
    <n v="0"/>
    <n v="8"/>
  </r>
  <r>
    <x v="1"/>
    <s v="Travel_Rarely"/>
    <x v="0"/>
    <s v="Current Employees"/>
    <x v="1"/>
    <x v="0"/>
    <s v="STAFF-1088"/>
    <n v="1088"/>
    <x v="0"/>
    <x v="4"/>
    <x v="1"/>
    <s v="No"/>
    <s v="Y"/>
    <n v="4"/>
    <n v="-2"/>
    <n v="0"/>
    <n v="38"/>
    <n v="0"/>
    <m/>
    <n v="0"/>
    <n v="1"/>
    <n v="330"/>
    <n v="17"/>
    <x v="1"/>
    <n v="1"/>
    <n v="3"/>
    <n v="65"/>
    <n v="2"/>
    <n v="3"/>
    <n v="1"/>
    <n v="8823"/>
    <n v="24608"/>
    <n v="0"/>
    <n v="18"/>
    <n v="3"/>
    <n v="1"/>
    <n v="80"/>
    <n v="1"/>
    <n v="20"/>
    <n v="2"/>
    <n v="19"/>
    <n v="9"/>
    <n v="1"/>
    <n v="9"/>
  </r>
  <r>
    <x v="1"/>
    <s v="Travel_Rarely"/>
    <x v="0"/>
    <s v="Current Employees"/>
    <x v="1"/>
    <x v="4"/>
    <s v="STAFF-1092"/>
    <n v="1092"/>
    <x v="1"/>
    <x v="4"/>
    <x v="1"/>
    <s v="No"/>
    <s v="Y"/>
    <n v="6"/>
    <n v="-2"/>
    <n v="0"/>
    <n v="40"/>
    <n v="0"/>
    <m/>
    <n v="0"/>
    <n v="1"/>
    <n v="1492"/>
    <n v="20"/>
    <x v="2"/>
    <n v="1"/>
    <n v="4"/>
    <n v="61"/>
    <n v="3"/>
    <n v="3"/>
    <n v="4"/>
    <n v="10322"/>
    <n v="26542"/>
    <n v="4"/>
    <n v="20"/>
    <n v="4"/>
    <n v="4"/>
    <n v="80"/>
    <n v="1"/>
    <n v="14"/>
    <n v="3"/>
    <n v="11"/>
    <n v="10"/>
    <n v="11"/>
    <n v="1"/>
  </r>
  <r>
    <x v="1"/>
    <s v="Non-Travel"/>
    <x v="2"/>
    <s v="Current Employees"/>
    <x v="1"/>
    <x v="0"/>
    <s v="STAFF-1094"/>
    <n v="1094"/>
    <x v="1"/>
    <x v="2"/>
    <x v="1"/>
    <s v="No"/>
    <s v="Y"/>
    <n v="4"/>
    <n v="-2"/>
    <n v="0"/>
    <n v="27"/>
    <n v="0"/>
    <m/>
    <n v="0"/>
    <n v="1"/>
    <n v="1277"/>
    <n v="8"/>
    <x v="4"/>
    <n v="1"/>
    <n v="1"/>
    <n v="87"/>
    <n v="1"/>
    <n v="1"/>
    <n v="1"/>
    <n v="4621"/>
    <n v="5869"/>
    <n v="1"/>
    <n v="19"/>
    <n v="3"/>
    <n v="4"/>
    <n v="80"/>
    <n v="3"/>
    <n v="3"/>
    <n v="3"/>
    <n v="3"/>
    <n v="2"/>
    <n v="1"/>
    <n v="2"/>
  </r>
  <r>
    <x v="1"/>
    <s v="Travel_Frequently"/>
    <x v="3"/>
    <s v="Current Employees"/>
    <x v="1"/>
    <x v="0"/>
    <s v="STAFF-1096"/>
    <n v="1096"/>
    <x v="1"/>
    <x v="3"/>
    <x v="1"/>
    <s v="No"/>
    <s v="Y"/>
    <n v="4"/>
    <n v="-2"/>
    <n v="0"/>
    <n v="55"/>
    <n v="0"/>
    <m/>
    <n v="0"/>
    <n v="1"/>
    <n v="1091"/>
    <n v="2"/>
    <x v="1"/>
    <n v="1"/>
    <n v="4"/>
    <n v="65"/>
    <n v="3"/>
    <n v="3"/>
    <n v="1"/>
    <n v="10976"/>
    <n v="15813"/>
    <n v="3"/>
    <n v="18"/>
    <n v="3"/>
    <n v="2"/>
    <n v="80"/>
    <n v="1"/>
    <n v="23"/>
    <n v="3"/>
    <n v="3"/>
    <n v="2"/>
    <n v="1"/>
    <n v="2"/>
  </r>
  <r>
    <x v="1"/>
    <s v="Travel_Rarely"/>
    <x v="2"/>
    <s v="Current Employees"/>
    <x v="1"/>
    <x v="1"/>
    <s v="STAFF-1097"/>
    <n v="1097"/>
    <x v="0"/>
    <x v="1"/>
    <x v="0"/>
    <s v="No"/>
    <s v="Y"/>
    <n v="4"/>
    <n v="-2"/>
    <n v="0"/>
    <n v="28"/>
    <n v="0"/>
    <m/>
    <n v="0"/>
    <n v="1"/>
    <n v="857"/>
    <n v="10"/>
    <x v="3"/>
    <n v="1"/>
    <n v="3"/>
    <n v="59"/>
    <n v="3"/>
    <n v="2"/>
    <n v="3"/>
    <n v="3660"/>
    <n v="7909"/>
    <n v="3"/>
    <n v="13"/>
    <n v="3"/>
    <n v="4"/>
    <n v="80"/>
    <n v="0"/>
    <n v="10"/>
    <n v="4"/>
    <n v="8"/>
    <n v="7"/>
    <n v="1"/>
    <n v="7"/>
  </r>
  <r>
    <x v="0"/>
    <s v="Travel_Rarely"/>
    <x v="0"/>
    <s v="Ex-Employees"/>
    <x v="2"/>
    <x v="2"/>
    <s v="STAFF-1098"/>
    <n v="1098"/>
    <x v="1"/>
    <x v="8"/>
    <x v="1"/>
    <s v="No"/>
    <s v="Y"/>
    <n v="1"/>
    <n v="-2"/>
    <n v="0"/>
    <n v="44"/>
    <n v="1"/>
    <n v="1"/>
    <n v="1"/>
    <n v="0"/>
    <n v="1376"/>
    <n v="1"/>
    <x v="0"/>
    <n v="1"/>
    <n v="2"/>
    <n v="91"/>
    <n v="2"/>
    <n v="3"/>
    <n v="3"/>
    <n v="10482"/>
    <n v="2326"/>
    <n v="9"/>
    <n v="14"/>
    <n v="3"/>
    <n v="4"/>
    <n v="80"/>
    <n v="1"/>
    <n v="24"/>
    <n v="3"/>
    <n v="20"/>
    <n v="6"/>
    <n v="3"/>
    <n v="6"/>
  </r>
  <r>
    <x v="1"/>
    <s v="Travel_Rarely"/>
    <x v="2"/>
    <s v="Current Employees"/>
    <x v="1"/>
    <x v="0"/>
    <s v="STAFF-1099"/>
    <n v="1099"/>
    <x v="1"/>
    <x v="4"/>
    <x v="2"/>
    <s v="No"/>
    <s v="Y"/>
    <n v="2"/>
    <n v="-2"/>
    <n v="0"/>
    <n v="33"/>
    <n v="0"/>
    <m/>
    <n v="0"/>
    <n v="1"/>
    <n v="654"/>
    <n v="5"/>
    <x v="3"/>
    <n v="1"/>
    <n v="4"/>
    <n v="34"/>
    <n v="2"/>
    <n v="3"/>
    <n v="1"/>
    <n v="7119"/>
    <n v="21214"/>
    <n v="4"/>
    <n v="15"/>
    <n v="3"/>
    <n v="3"/>
    <n v="80"/>
    <n v="1"/>
    <n v="9"/>
    <n v="3"/>
    <n v="3"/>
    <n v="2"/>
    <n v="1"/>
    <n v="2"/>
  </r>
  <r>
    <x v="0"/>
    <s v="Travel_Rarely"/>
    <x v="0"/>
    <s v="Ex-Employees"/>
    <x v="0"/>
    <x v="4"/>
    <s v="STAFF-1100"/>
    <n v="1100"/>
    <x v="1"/>
    <x v="0"/>
    <x v="0"/>
    <s v="Yes"/>
    <s v="Y"/>
    <n v="2"/>
    <n v="-2"/>
    <n v="0"/>
    <n v="35"/>
    <n v="1"/>
    <n v="1"/>
    <n v="1"/>
    <n v="0"/>
    <n v="1204"/>
    <n v="4"/>
    <x v="3"/>
    <n v="1"/>
    <n v="4"/>
    <n v="86"/>
    <n v="3"/>
    <n v="3"/>
    <n v="4"/>
    <n v="9582"/>
    <n v="10333"/>
    <n v="0"/>
    <n v="22"/>
    <n v="4"/>
    <n v="1"/>
    <n v="80"/>
    <n v="0"/>
    <n v="9"/>
    <n v="3"/>
    <n v="8"/>
    <n v="7"/>
    <n v="4"/>
    <n v="7"/>
  </r>
  <r>
    <x v="0"/>
    <s v="Travel_Frequently"/>
    <x v="2"/>
    <s v="Ex-Employees"/>
    <x v="1"/>
    <x v="2"/>
    <s v="STAFF-1101"/>
    <n v="1101"/>
    <x v="0"/>
    <x v="1"/>
    <x v="0"/>
    <s v="No"/>
    <s v="Y"/>
    <n v="4"/>
    <n v="-2"/>
    <n v="0"/>
    <n v="33"/>
    <n v="1"/>
    <n v="1"/>
    <n v="1"/>
    <n v="0"/>
    <n v="827"/>
    <n v="29"/>
    <x v="2"/>
    <n v="1"/>
    <n v="1"/>
    <n v="54"/>
    <n v="2"/>
    <n v="2"/>
    <n v="3"/>
    <n v="4508"/>
    <n v="3129"/>
    <n v="1"/>
    <n v="22"/>
    <n v="4"/>
    <n v="2"/>
    <n v="80"/>
    <n v="0"/>
    <n v="14"/>
    <n v="3"/>
    <n v="13"/>
    <n v="7"/>
    <n v="3"/>
    <n v="8"/>
  </r>
  <r>
    <x v="1"/>
    <s v="Travel_Rarely"/>
    <x v="2"/>
    <s v="Current Employees"/>
    <x v="1"/>
    <x v="0"/>
    <s v="STAFF-1102"/>
    <n v="1102"/>
    <x v="1"/>
    <x v="2"/>
    <x v="2"/>
    <s v="No"/>
    <s v="Y"/>
    <n v="5"/>
    <n v="-2"/>
    <n v="0"/>
    <n v="28"/>
    <n v="0"/>
    <m/>
    <n v="0"/>
    <n v="1"/>
    <n v="895"/>
    <n v="15"/>
    <x v="0"/>
    <n v="1"/>
    <n v="1"/>
    <n v="50"/>
    <n v="3"/>
    <n v="1"/>
    <n v="1"/>
    <n v="2207"/>
    <n v="22482"/>
    <n v="1"/>
    <n v="16"/>
    <n v="3"/>
    <n v="4"/>
    <n v="80"/>
    <n v="1"/>
    <n v="4"/>
    <n v="2"/>
    <n v="4"/>
    <n v="2"/>
    <n v="2"/>
    <n v="2"/>
  </r>
  <r>
    <x v="1"/>
    <s v="Travel_Frequently"/>
    <x v="2"/>
    <s v="Current Employees"/>
    <x v="1"/>
    <x v="0"/>
    <s v="STAFF-1103"/>
    <n v="1103"/>
    <x v="1"/>
    <x v="4"/>
    <x v="0"/>
    <s v="No"/>
    <s v="Y"/>
    <n v="1"/>
    <n v="-2"/>
    <n v="0"/>
    <n v="34"/>
    <n v="0"/>
    <m/>
    <n v="0"/>
    <n v="1"/>
    <n v="618"/>
    <n v="3"/>
    <x v="1"/>
    <n v="1"/>
    <n v="1"/>
    <n v="45"/>
    <n v="3"/>
    <n v="2"/>
    <n v="1"/>
    <n v="7756"/>
    <n v="22266"/>
    <n v="0"/>
    <n v="17"/>
    <n v="3"/>
    <n v="3"/>
    <n v="80"/>
    <n v="0"/>
    <n v="7"/>
    <n v="2"/>
    <n v="6"/>
    <n v="2"/>
    <n v="0"/>
    <n v="4"/>
  </r>
  <r>
    <x v="1"/>
    <s v="Travel_Rarely"/>
    <x v="0"/>
    <s v="Current Employees"/>
    <x v="0"/>
    <x v="0"/>
    <s v="STAFF-1105"/>
    <n v="1105"/>
    <x v="0"/>
    <x v="0"/>
    <x v="2"/>
    <s v="Yes"/>
    <s v="Y"/>
    <n v="5"/>
    <n v="-2"/>
    <n v="0"/>
    <n v="37"/>
    <n v="0"/>
    <m/>
    <n v="0"/>
    <n v="1"/>
    <n v="309"/>
    <n v="10"/>
    <x v="2"/>
    <n v="1"/>
    <n v="4"/>
    <n v="88"/>
    <n v="2"/>
    <n v="2"/>
    <n v="1"/>
    <n v="6694"/>
    <n v="24223"/>
    <n v="2"/>
    <n v="14"/>
    <n v="3"/>
    <n v="3"/>
    <n v="80"/>
    <n v="3"/>
    <n v="8"/>
    <n v="3"/>
    <n v="1"/>
    <n v="0"/>
    <n v="0"/>
    <n v="0"/>
  </r>
  <r>
    <x v="0"/>
    <s v="Travel_Rarely"/>
    <x v="2"/>
    <s v="Ex-Employees"/>
    <x v="1"/>
    <x v="4"/>
    <s v="STAFF-1106"/>
    <n v="1106"/>
    <x v="1"/>
    <x v="2"/>
    <x v="1"/>
    <s v="Yes"/>
    <s v="Y"/>
    <n v="3"/>
    <n v="-2"/>
    <n v="0"/>
    <n v="25"/>
    <n v="1"/>
    <n v="1"/>
    <n v="1"/>
    <n v="0"/>
    <n v="1219"/>
    <n v="4"/>
    <x v="1"/>
    <n v="1"/>
    <n v="4"/>
    <n v="32"/>
    <n v="3"/>
    <n v="1"/>
    <n v="4"/>
    <n v="3691"/>
    <n v="4605"/>
    <n v="1"/>
    <n v="15"/>
    <n v="3"/>
    <n v="2"/>
    <n v="80"/>
    <n v="1"/>
    <n v="7"/>
    <n v="4"/>
    <n v="7"/>
    <n v="7"/>
    <n v="5"/>
    <n v="6"/>
  </r>
  <r>
    <x v="0"/>
    <s v="Travel_Rarely"/>
    <x v="2"/>
    <s v="Ex-Employees"/>
    <x v="1"/>
    <x v="2"/>
    <s v="STAFF-1107"/>
    <n v="1107"/>
    <x v="1"/>
    <x v="2"/>
    <x v="2"/>
    <s v="No"/>
    <s v="Y"/>
    <n v="0"/>
    <n v="-2"/>
    <n v="0"/>
    <n v="26"/>
    <n v="1"/>
    <n v="1"/>
    <n v="1"/>
    <n v="0"/>
    <n v="1330"/>
    <n v="21"/>
    <x v="3"/>
    <n v="1"/>
    <n v="1"/>
    <n v="37"/>
    <n v="3"/>
    <n v="1"/>
    <n v="3"/>
    <n v="2377"/>
    <n v="19373"/>
    <n v="1"/>
    <n v="20"/>
    <n v="4"/>
    <n v="3"/>
    <n v="80"/>
    <n v="1"/>
    <n v="1"/>
    <n v="2"/>
    <n v="1"/>
    <n v="1"/>
    <n v="0"/>
    <n v="0"/>
  </r>
  <r>
    <x v="0"/>
    <s v="Travel_Rarely"/>
    <x v="2"/>
    <s v="Ex-Employees"/>
    <x v="1"/>
    <x v="2"/>
    <s v="STAFF-1108"/>
    <n v="1108"/>
    <x v="1"/>
    <x v="1"/>
    <x v="0"/>
    <s v="Yes"/>
    <s v="Y"/>
    <n v="0"/>
    <n v="-2"/>
    <n v="0"/>
    <n v="33"/>
    <n v="1"/>
    <n v="1"/>
    <n v="1"/>
    <n v="0"/>
    <n v="1017"/>
    <n v="25"/>
    <x v="3"/>
    <n v="1"/>
    <n v="1"/>
    <n v="55"/>
    <n v="2"/>
    <n v="1"/>
    <n v="3"/>
    <n v="2313"/>
    <n v="2993"/>
    <n v="4"/>
    <n v="20"/>
    <n v="4"/>
    <n v="2"/>
    <n v="80"/>
    <n v="0"/>
    <n v="5"/>
    <n v="3"/>
    <n v="2"/>
    <n v="2"/>
    <n v="2"/>
    <n v="2"/>
  </r>
  <r>
    <x v="1"/>
    <s v="Travel_Rarely"/>
    <x v="0"/>
    <s v="Current Employees"/>
    <x v="1"/>
    <x v="2"/>
    <s v="STAFF-1109"/>
    <n v="1109"/>
    <x v="1"/>
    <x v="5"/>
    <x v="1"/>
    <s v="No"/>
    <s v="Y"/>
    <n v="3"/>
    <n v="-2"/>
    <n v="0"/>
    <n v="42"/>
    <n v="0"/>
    <m/>
    <n v="0"/>
    <n v="1"/>
    <n v="469"/>
    <n v="2"/>
    <x v="0"/>
    <n v="1"/>
    <n v="4"/>
    <n v="35"/>
    <n v="3"/>
    <n v="4"/>
    <n v="3"/>
    <n v="17665"/>
    <n v="14399"/>
    <n v="0"/>
    <n v="17"/>
    <n v="3"/>
    <n v="4"/>
    <n v="80"/>
    <n v="1"/>
    <n v="23"/>
    <n v="3"/>
    <n v="22"/>
    <n v="6"/>
    <n v="13"/>
    <n v="7"/>
  </r>
  <r>
    <x v="0"/>
    <s v="Travel_Frequently"/>
    <x v="2"/>
    <s v="Ex-Employees"/>
    <x v="1"/>
    <x v="2"/>
    <s v="STAFF-1111"/>
    <n v="1111"/>
    <x v="1"/>
    <x v="2"/>
    <x v="2"/>
    <s v="No"/>
    <s v="Y"/>
    <n v="2"/>
    <n v="-2"/>
    <n v="0"/>
    <n v="28"/>
    <n v="1"/>
    <n v="1"/>
    <n v="1"/>
    <n v="0"/>
    <n v="1009"/>
    <n v="1"/>
    <x v="3"/>
    <n v="1"/>
    <n v="1"/>
    <n v="45"/>
    <n v="2"/>
    <n v="1"/>
    <n v="3"/>
    <n v="2596"/>
    <n v="7160"/>
    <n v="1"/>
    <n v="15"/>
    <n v="3"/>
    <n v="1"/>
    <n v="80"/>
    <n v="2"/>
    <n v="1"/>
    <n v="3"/>
    <n v="1"/>
    <n v="0"/>
    <n v="0"/>
    <n v="0"/>
  </r>
  <r>
    <x v="0"/>
    <s v="Travel_Frequently"/>
    <x v="1"/>
    <s v="Ex-Employees"/>
    <x v="0"/>
    <x v="1"/>
    <s v="STAFF-1113"/>
    <n v="1113"/>
    <x v="1"/>
    <x v="0"/>
    <x v="0"/>
    <s v="Yes"/>
    <s v="Y"/>
    <n v="4"/>
    <n v="-2"/>
    <n v="0"/>
    <n v="50"/>
    <n v="1"/>
    <n v="1"/>
    <n v="1"/>
    <n v="0"/>
    <n v="959"/>
    <n v="1"/>
    <x v="2"/>
    <n v="1"/>
    <n v="4"/>
    <n v="81"/>
    <n v="3"/>
    <n v="2"/>
    <n v="3"/>
    <n v="4728"/>
    <n v="17251"/>
    <n v="3"/>
    <n v="14"/>
    <n v="3"/>
    <n v="4"/>
    <n v="80"/>
    <n v="0"/>
    <n v="5"/>
    <n v="3"/>
    <n v="0"/>
    <n v="0"/>
    <n v="0"/>
    <n v="0"/>
  </r>
  <r>
    <x v="1"/>
    <s v="Travel_Frequently"/>
    <x v="2"/>
    <s v="Current Employees"/>
    <x v="0"/>
    <x v="0"/>
    <s v="STAFF-1114"/>
    <n v="1114"/>
    <x v="0"/>
    <x v="0"/>
    <x v="1"/>
    <s v="No"/>
    <s v="Y"/>
    <n v="3"/>
    <n v="-2"/>
    <n v="0"/>
    <n v="33"/>
    <n v="0"/>
    <m/>
    <n v="0"/>
    <n v="1"/>
    <n v="970"/>
    <n v="7"/>
    <x v="3"/>
    <n v="1"/>
    <n v="4"/>
    <n v="30"/>
    <n v="3"/>
    <n v="2"/>
    <n v="1"/>
    <n v="4302"/>
    <n v="13401"/>
    <n v="0"/>
    <n v="17"/>
    <n v="3"/>
    <n v="3"/>
    <n v="80"/>
    <n v="1"/>
    <n v="4"/>
    <n v="3"/>
    <n v="3"/>
    <n v="2"/>
    <n v="0"/>
    <n v="2"/>
  </r>
  <r>
    <x v="1"/>
    <s v="Non-Travel"/>
    <x v="2"/>
    <s v="Current Employees"/>
    <x v="1"/>
    <x v="0"/>
    <s v="STAFF-1115"/>
    <n v="1115"/>
    <x v="1"/>
    <x v="1"/>
    <x v="1"/>
    <s v="No"/>
    <s v="Y"/>
    <n v="2"/>
    <n v="-2"/>
    <n v="0"/>
    <n v="34"/>
    <n v="0"/>
    <m/>
    <n v="0"/>
    <n v="1"/>
    <n v="697"/>
    <n v="3"/>
    <x v="2"/>
    <n v="1"/>
    <n v="3"/>
    <n v="40"/>
    <n v="2"/>
    <n v="1"/>
    <n v="1"/>
    <n v="2979"/>
    <n v="22478"/>
    <n v="3"/>
    <n v="17"/>
    <n v="3"/>
    <n v="4"/>
    <n v="80"/>
    <n v="3"/>
    <n v="6"/>
    <n v="3"/>
    <n v="0"/>
    <n v="0"/>
    <n v="0"/>
    <n v="0"/>
  </r>
  <r>
    <x v="1"/>
    <s v="Non-Travel"/>
    <x v="1"/>
    <s v="Current Employees"/>
    <x v="1"/>
    <x v="2"/>
    <s v="STAFF-1116"/>
    <n v="1116"/>
    <x v="1"/>
    <x v="5"/>
    <x v="0"/>
    <s v="No"/>
    <s v="Y"/>
    <n v="3"/>
    <n v="-2"/>
    <n v="0"/>
    <n v="48"/>
    <n v="0"/>
    <m/>
    <n v="0"/>
    <n v="1"/>
    <n v="1262"/>
    <n v="1"/>
    <x v="2"/>
    <n v="1"/>
    <n v="1"/>
    <n v="35"/>
    <n v="4"/>
    <n v="4"/>
    <n v="4"/>
    <n v="16885"/>
    <n v="16154"/>
    <n v="2"/>
    <n v="22"/>
    <n v="4"/>
    <n v="3"/>
    <n v="80"/>
    <n v="0"/>
    <n v="27"/>
    <n v="2"/>
    <n v="5"/>
    <n v="4"/>
    <n v="2"/>
    <n v="1"/>
  </r>
  <r>
    <x v="1"/>
    <s v="Non-Travel"/>
    <x v="1"/>
    <s v="Current Employees"/>
    <x v="0"/>
    <x v="0"/>
    <s v="STAFF-1117"/>
    <n v="1117"/>
    <x v="0"/>
    <x v="0"/>
    <x v="1"/>
    <s v="No"/>
    <s v="Y"/>
    <n v="2"/>
    <n v="-2"/>
    <n v="0"/>
    <n v="45"/>
    <n v="0"/>
    <m/>
    <n v="0"/>
    <n v="1"/>
    <n v="1050"/>
    <n v="9"/>
    <x v="2"/>
    <n v="1"/>
    <n v="2"/>
    <n v="65"/>
    <n v="2"/>
    <n v="2"/>
    <n v="1"/>
    <n v="5593"/>
    <n v="17970"/>
    <n v="1"/>
    <n v="13"/>
    <n v="3"/>
    <n v="4"/>
    <n v="80"/>
    <n v="1"/>
    <n v="15"/>
    <n v="3"/>
    <n v="15"/>
    <n v="10"/>
    <n v="4"/>
    <n v="12"/>
  </r>
  <r>
    <x v="1"/>
    <s v="Travel_Rarely"/>
    <x v="1"/>
    <s v="Current Employees"/>
    <x v="1"/>
    <x v="0"/>
    <s v="STAFF-1118"/>
    <n v="1118"/>
    <x v="1"/>
    <x v="4"/>
    <x v="0"/>
    <s v="No"/>
    <s v="Y"/>
    <n v="4"/>
    <n v="-2"/>
    <n v="0"/>
    <n v="52"/>
    <n v="0"/>
    <m/>
    <n v="0"/>
    <n v="1"/>
    <n v="994"/>
    <n v="7"/>
    <x v="2"/>
    <n v="1"/>
    <n v="2"/>
    <n v="87"/>
    <n v="3"/>
    <n v="3"/>
    <n v="1"/>
    <n v="10445"/>
    <n v="15322"/>
    <n v="7"/>
    <n v="19"/>
    <n v="3"/>
    <n v="4"/>
    <n v="80"/>
    <n v="0"/>
    <n v="18"/>
    <n v="3"/>
    <n v="8"/>
    <n v="6"/>
    <n v="4"/>
    <n v="0"/>
  </r>
  <r>
    <x v="1"/>
    <s v="Travel_Rarely"/>
    <x v="0"/>
    <s v="Current Employees"/>
    <x v="0"/>
    <x v="3"/>
    <s v="STAFF-1119"/>
    <n v="1119"/>
    <x v="1"/>
    <x v="0"/>
    <x v="2"/>
    <s v="Yes"/>
    <s v="Y"/>
    <n v="2"/>
    <n v="-2"/>
    <n v="0"/>
    <n v="38"/>
    <n v="0"/>
    <m/>
    <n v="0"/>
    <n v="1"/>
    <n v="770"/>
    <n v="10"/>
    <x v="2"/>
    <n v="1"/>
    <n v="3"/>
    <n v="73"/>
    <n v="2"/>
    <n v="3"/>
    <n v="2"/>
    <n v="8740"/>
    <n v="5569"/>
    <n v="0"/>
    <n v="14"/>
    <n v="3"/>
    <n v="2"/>
    <n v="80"/>
    <n v="2"/>
    <n v="9"/>
    <n v="3"/>
    <n v="8"/>
    <n v="7"/>
    <n v="2"/>
    <n v="7"/>
  </r>
  <r>
    <x v="1"/>
    <s v="Travel_Rarely"/>
    <x v="2"/>
    <s v="Current Employees"/>
    <x v="1"/>
    <x v="0"/>
    <s v="STAFF-1120"/>
    <n v="1120"/>
    <x v="0"/>
    <x v="1"/>
    <x v="2"/>
    <s v="No"/>
    <s v="Y"/>
    <n v="1"/>
    <n v="-2"/>
    <n v="0"/>
    <n v="29"/>
    <n v="0"/>
    <m/>
    <n v="0"/>
    <n v="1"/>
    <n v="1107"/>
    <n v="28"/>
    <x v="2"/>
    <n v="1"/>
    <n v="3"/>
    <n v="93"/>
    <n v="3"/>
    <n v="1"/>
    <n v="1"/>
    <n v="2514"/>
    <n v="26968"/>
    <n v="4"/>
    <n v="22"/>
    <n v="4"/>
    <n v="1"/>
    <n v="80"/>
    <n v="1"/>
    <n v="11"/>
    <n v="3"/>
    <n v="7"/>
    <n v="5"/>
    <n v="1"/>
    <n v="7"/>
  </r>
  <r>
    <x v="1"/>
    <s v="Travel_Rarely"/>
    <x v="2"/>
    <s v="Current Employees"/>
    <x v="1"/>
    <x v="2"/>
    <s v="STAFF-1121"/>
    <n v="1121"/>
    <x v="0"/>
    <x v="3"/>
    <x v="2"/>
    <s v="No"/>
    <s v="Y"/>
    <n v="3"/>
    <n v="-2"/>
    <n v="0"/>
    <n v="28"/>
    <n v="0"/>
    <m/>
    <n v="0"/>
    <n v="1"/>
    <n v="950"/>
    <n v="3"/>
    <x v="3"/>
    <n v="1"/>
    <n v="4"/>
    <n v="93"/>
    <n v="3"/>
    <n v="3"/>
    <n v="3"/>
    <n v="7655"/>
    <n v="8039"/>
    <n v="0"/>
    <n v="17"/>
    <n v="3"/>
    <n v="2"/>
    <n v="80"/>
    <n v="3"/>
    <n v="10"/>
    <n v="2"/>
    <n v="9"/>
    <n v="7"/>
    <n v="1"/>
    <n v="7"/>
  </r>
  <r>
    <x v="1"/>
    <s v="Travel_Rarely"/>
    <x v="1"/>
    <s v="Current Employees"/>
    <x v="0"/>
    <x v="3"/>
    <s v="STAFF-1124"/>
    <n v="1124"/>
    <x v="1"/>
    <x v="5"/>
    <x v="1"/>
    <s v="No"/>
    <s v="Y"/>
    <n v="3"/>
    <n v="-2"/>
    <n v="0"/>
    <n v="46"/>
    <n v="0"/>
    <m/>
    <n v="0"/>
    <n v="1"/>
    <n v="406"/>
    <n v="3"/>
    <x v="1"/>
    <n v="1"/>
    <n v="1"/>
    <n v="52"/>
    <n v="3"/>
    <n v="4"/>
    <n v="2"/>
    <n v="17465"/>
    <n v="15596"/>
    <n v="3"/>
    <n v="12"/>
    <n v="3"/>
    <n v="4"/>
    <n v="80"/>
    <n v="1"/>
    <n v="23"/>
    <n v="3"/>
    <n v="12"/>
    <n v="9"/>
    <n v="4"/>
    <n v="9"/>
  </r>
  <r>
    <x v="1"/>
    <s v="Travel_Rarely"/>
    <x v="0"/>
    <s v="Current Employees"/>
    <x v="0"/>
    <x v="3"/>
    <s v="STAFF-1125"/>
    <n v="1125"/>
    <x v="1"/>
    <x v="0"/>
    <x v="0"/>
    <s v="No"/>
    <s v="Y"/>
    <n v="2"/>
    <n v="-2"/>
    <n v="0"/>
    <n v="38"/>
    <n v="0"/>
    <m/>
    <n v="0"/>
    <n v="1"/>
    <n v="130"/>
    <n v="2"/>
    <x v="0"/>
    <n v="1"/>
    <n v="4"/>
    <n v="32"/>
    <n v="3"/>
    <n v="3"/>
    <n v="2"/>
    <n v="7351"/>
    <n v="20619"/>
    <n v="7"/>
    <n v="16"/>
    <n v="3"/>
    <n v="3"/>
    <n v="80"/>
    <n v="0"/>
    <n v="10"/>
    <n v="3"/>
    <n v="1"/>
    <n v="0"/>
    <n v="0"/>
    <n v="0"/>
  </r>
  <r>
    <x v="1"/>
    <s v="Travel_Frequently"/>
    <x v="0"/>
    <s v="Current Employees"/>
    <x v="1"/>
    <x v="0"/>
    <s v="STAFF-1126"/>
    <n v="1126"/>
    <x v="0"/>
    <x v="3"/>
    <x v="1"/>
    <s v="No"/>
    <s v="Y"/>
    <n v="1"/>
    <n v="-2"/>
    <n v="0"/>
    <n v="43"/>
    <n v="0"/>
    <m/>
    <n v="0"/>
    <n v="1"/>
    <n v="1082"/>
    <n v="27"/>
    <x v="3"/>
    <n v="1"/>
    <n v="3"/>
    <n v="83"/>
    <n v="3"/>
    <n v="3"/>
    <n v="1"/>
    <n v="10820"/>
    <n v="11535"/>
    <n v="8"/>
    <n v="11"/>
    <n v="3"/>
    <n v="3"/>
    <n v="80"/>
    <n v="1"/>
    <n v="18"/>
    <n v="3"/>
    <n v="8"/>
    <n v="7"/>
    <n v="0"/>
    <n v="1"/>
  </r>
  <r>
    <x v="0"/>
    <s v="Travel_Frequently"/>
    <x v="0"/>
    <s v="Ex-Employees"/>
    <x v="1"/>
    <x v="0"/>
    <s v="STAFF-1127"/>
    <n v="1127"/>
    <x v="1"/>
    <x v="4"/>
    <x v="2"/>
    <s v="No"/>
    <s v="Y"/>
    <n v="4"/>
    <n v="-2"/>
    <n v="0"/>
    <n v="39"/>
    <n v="1"/>
    <n v="1"/>
    <n v="1"/>
    <n v="0"/>
    <n v="203"/>
    <n v="2"/>
    <x v="3"/>
    <n v="1"/>
    <n v="1"/>
    <n v="84"/>
    <n v="3"/>
    <n v="4"/>
    <n v="1"/>
    <n v="12169"/>
    <n v="13547"/>
    <n v="7"/>
    <n v="11"/>
    <n v="3"/>
    <n v="4"/>
    <n v="80"/>
    <n v="3"/>
    <n v="21"/>
    <n v="3"/>
    <n v="18"/>
    <n v="7"/>
    <n v="11"/>
    <n v="5"/>
  </r>
  <r>
    <x v="1"/>
    <s v="Travel_Rarely"/>
    <x v="0"/>
    <s v="Current Employees"/>
    <x v="1"/>
    <x v="2"/>
    <s v="STAFF-1128"/>
    <n v="1128"/>
    <x v="1"/>
    <x v="7"/>
    <x v="0"/>
    <s v="No"/>
    <s v="Y"/>
    <n v="2"/>
    <n v="-2"/>
    <n v="0"/>
    <n v="40"/>
    <n v="0"/>
    <m/>
    <n v="0"/>
    <n v="1"/>
    <n v="1308"/>
    <n v="14"/>
    <x v="3"/>
    <n v="1"/>
    <n v="3"/>
    <n v="44"/>
    <n v="2"/>
    <n v="5"/>
    <n v="3"/>
    <n v="19626"/>
    <n v="17544"/>
    <n v="1"/>
    <n v="14"/>
    <n v="3"/>
    <n v="1"/>
    <n v="80"/>
    <n v="0"/>
    <n v="21"/>
    <n v="4"/>
    <n v="20"/>
    <n v="7"/>
    <n v="4"/>
    <n v="9"/>
  </r>
  <r>
    <x v="1"/>
    <s v="Travel_Rarely"/>
    <x v="4"/>
    <s v="Current Employees"/>
    <x v="1"/>
    <x v="4"/>
    <s v="STAFF-1131"/>
    <n v="1131"/>
    <x v="0"/>
    <x v="1"/>
    <x v="0"/>
    <s v="Yes"/>
    <s v="Y"/>
    <n v="6"/>
    <n v="-2"/>
    <n v="0"/>
    <n v="21"/>
    <n v="0"/>
    <m/>
    <n v="0"/>
    <n v="1"/>
    <n v="984"/>
    <n v="1"/>
    <x v="1"/>
    <n v="1"/>
    <n v="4"/>
    <n v="70"/>
    <n v="2"/>
    <n v="1"/>
    <n v="4"/>
    <n v="2070"/>
    <n v="25326"/>
    <n v="1"/>
    <n v="11"/>
    <n v="3"/>
    <n v="3"/>
    <n v="80"/>
    <n v="0"/>
    <n v="2"/>
    <n v="4"/>
    <n v="2"/>
    <n v="2"/>
    <n v="2"/>
    <n v="2"/>
  </r>
  <r>
    <x v="1"/>
    <s v="Non-Travel"/>
    <x v="0"/>
    <s v="Current Employees"/>
    <x v="1"/>
    <x v="0"/>
    <s v="STAFF-1132"/>
    <n v="1132"/>
    <x v="1"/>
    <x v="2"/>
    <x v="0"/>
    <s v="No"/>
    <s v="Y"/>
    <n v="2"/>
    <n v="-2"/>
    <n v="0"/>
    <n v="39"/>
    <n v="0"/>
    <m/>
    <n v="0"/>
    <n v="1"/>
    <n v="439"/>
    <n v="9"/>
    <x v="3"/>
    <n v="1"/>
    <n v="3"/>
    <n v="70"/>
    <n v="3"/>
    <n v="2"/>
    <n v="1"/>
    <n v="6782"/>
    <n v="8770"/>
    <n v="9"/>
    <n v="15"/>
    <n v="3"/>
    <n v="3"/>
    <n v="80"/>
    <n v="0"/>
    <n v="9"/>
    <n v="2"/>
    <n v="5"/>
    <n v="4"/>
    <n v="0"/>
    <n v="3"/>
  </r>
  <r>
    <x v="1"/>
    <s v="Non-Travel"/>
    <x v="0"/>
    <s v="Current Employees"/>
    <x v="1"/>
    <x v="0"/>
    <s v="STAFF-1133"/>
    <n v="1133"/>
    <x v="1"/>
    <x v="3"/>
    <x v="0"/>
    <s v="No"/>
    <s v="Y"/>
    <n v="0"/>
    <n v="-2"/>
    <n v="0"/>
    <n v="36"/>
    <n v="0"/>
    <m/>
    <n v="0"/>
    <n v="1"/>
    <n v="217"/>
    <n v="18"/>
    <x v="2"/>
    <n v="1"/>
    <n v="1"/>
    <n v="78"/>
    <n v="3"/>
    <n v="2"/>
    <n v="1"/>
    <n v="7779"/>
    <n v="23238"/>
    <n v="2"/>
    <n v="20"/>
    <n v="4"/>
    <n v="1"/>
    <n v="80"/>
    <n v="0"/>
    <n v="18"/>
    <n v="3"/>
    <n v="11"/>
    <n v="9"/>
    <n v="0"/>
    <n v="9"/>
  </r>
  <r>
    <x v="1"/>
    <s v="Travel_Frequently"/>
    <x v="2"/>
    <s v="Current Employees"/>
    <x v="0"/>
    <x v="0"/>
    <s v="STAFF-1135"/>
    <n v="1135"/>
    <x v="1"/>
    <x v="6"/>
    <x v="1"/>
    <s v="No"/>
    <s v="Y"/>
    <n v="4"/>
    <n v="-2"/>
    <n v="0"/>
    <n v="31"/>
    <n v="0"/>
    <m/>
    <n v="0"/>
    <n v="1"/>
    <n v="793"/>
    <n v="20"/>
    <x v="3"/>
    <n v="1"/>
    <n v="3"/>
    <n v="67"/>
    <n v="4"/>
    <n v="1"/>
    <n v="1"/>
    <n v="2791"/>
    <n v="21981"/>
    <n v="0"/>
    <n v="12"/>
    <n v="3"/>
    <n v="1"/>
    <n v="80"/>
    <n v="1"/>
    <n v="3"/>
    <n v="3"/>
    <n v="2"/>
    <n v="2"/>
    <n v="2"/>
    <n v="2"/>
  </r>
  <r>
    <x v="1"/>
    <s v="Travel_Rarely"/>
    <x v="2"/>
    <s v="Current Employees"/>
    <x v="1"/>
    <x v="0"/>
    <s v="STAFF-1136"/>
    <n v="1136"/>
    <x v="1"/>
    <x v="1"/>
    <x v="1"/>
    <s v="No"/>
    <s v="Y"/>
    <n v="2"/>
    <n v="-2"/>
    <n v="0"/>
    <n v="28"/>
    <n v="0"/>
    <m/>
    <n v="0"/>
    <n v="1"/>
    <n v="1451"/>
    <n v="2"/>
    <x v="1"/>
    <n v="1"/>
    <n v="1"/>
    <n v="67"/>
    <n v="2"/>
    <n v="1"/>
    <n v="1"/>
    <n v="3201"/>
    <n v="19911"/>
    <n v="0"/>
    <n v="17"/>
    <n v="3"/>
    <n v="1"/>
    <n v="80"/>
    <n v="0"/>
    <n v="6"/>
    <n v="1"/>
    <n v="5"/>
    <n v="3"/>
    <n v="0"/>
    <n v="4"/>
  </r>
  <r>
    <x v="1"/>
    <s v="Travel_Frequently"/>
    <x v="0"/>
    <s v="Current Employees"/>
    <x v="0"/>
    <x v="3"/>
    <s v="STAFF-1137"/>
    <n v="1137"/>
    <x v="1"/>
    <x v="0"/>
    <x v="2"/>
    <s v="No"/>
    <s v="Y"/>
    <n v="3"/>
    <n v="-2"/>
    <n v="0"/>
    <n v="35"/>
    <n v="0"/>
    <m/>
    <n v="0"/>
    <n v="1"/>
    <n v="1182"/>
    <n v="11"/>
    <x v="0"/>
    <n v="1"/>
    <n v="4"/>
    <n v="54"/>
    <n v="3"/>
    <n v="2"/>
    <n v="2"/>
    <n v="4968"/>
    <n v="18500"/>
    <n v="1"/>
    <n v="11"/>
    <n v="3"/>
    <n v="4"/>
    <n v="80"/>
    <n v="1"/>
    <n v="5"/>
    <n v="3"/>
    <n v="5"/>
    <n v="2"/>
    <n v="0"/>
    <n v="2"/>
  </r>
  <r>
    <x v="1"/>
    <s v="Travel_Rarely"/>
    <x v="1"/>
    <s v="Current Employees"/>
    <x v="0"/>
    <x v="4"/>
    <s v="STAFF-1138"/>
    <n v="1138"/>
    <x v="1"/>
    <x v="0"/>
    <x v="1"/>
    <s v="No"/>
    <s v="Y"/>
    <n v="3"/>
    <n v="-2"/>
    <n v="0"/>
    <n v="49"/>
    <n v="0"/>
    <m/>
    <n v="0"/>
    <n v="1"/>
    <n v="174"/>
    <n v="8"/>
    <x v="2"/>
    <n v="1"/>
    <n v="4"/>
    <n v="56"/>
    <n v="2"/>
    <n v="4"/>
    <n v="4"/>
    <n v="13120"/>
    <n v="11879"/>
    <n v="6"/>
    <n v="17"/>
    <n v="3"/>
    <n v="2"/>
    <n v="80"/>
    <n v="1"/>
    <n v="22"/>
    <n v="3"/>
    <n v="9"/>
    <n v="8"/>
    <n v="2"/>
    <n v="3"/>
  </r>
  <r>
    <x v="1"/>
    <s v="Travel_Frequently"/>
    <x v="2"/>
    <s v="Current Employees"/>
    <x v="1"/>
    <x v="0"/>
    <s v="STAFF-1140"/>
    <n v="1140"/>
    <x v="1"/>
    <x v="3"/>
    <x v="0"/>
    <s v="No"/>
    <s v="Y"/>
    <n v="3"/>
    <n v="-2"/>
    <n v="0"/>
    <n v="34"/>
    <n v="0"/>
    <m/>
    <n v="0"/>
    <n v="1"/>
    <n v="1003"/>
    <n v="2"/>
    <x v="0"/>
    <n v="1"/>
    <n v="4"/>
    <n v="95"/>
    <n v="3"/>
    <n v="2"/>
    <n v="1"/>
    <n v="4033"/>
    <n v="15834"/>
    <n v="2"/>
    <n v="11"/>
    <n v="3"/>
    <n v="4"/>
    <n v="80"/>
    <n v="0"/>
    <n v="5"/>
    <n v="2"/>
    <n v="3"/>
    <n v="2"/>
    <n v="0"/>
    <n v="2"/>
  </r>
  <r>
    <x v="1"/>
    <s v="Travel_Frequently"/>
    <x v="2"/>
    <s v="Current Employees"/>
    <x v="1"/>
    <x v="0"/>
    <s v="STAFF-1143"/>
    <n v="1143"/>
    <x v="0"/>
    <x v="1"/>
    <x v="2"/>
    <s v="No"/>
    <s v="Y"/>
    <n v="2"/>
    <n v="-2"/>
    <n v="0"/>
    <n v="29"/>
    <n v="0"/>
    <m/>
    <n v="0"/>
    <n v="1"/>
    <n v="490"/>
    <n v="10"/>
    <x v="3"/>
    <n v="1"/>
    <n v="4"/>
    <n v="61"/>
    <n v="3"/>
    <n v="1"/>
    <n v="1"/>
    <n v="3291"/>
    <n v="17940"/>
    <n v="0"/>
    <n v="14"/>
    <n v="3"/>
    <n v="4"/>
    <n v="80"/>
    <n v="2"/>
    <n v="8"/>
    <n v="2"/>
    <n v="7"/>
    <n v="5"/>
    <n v="1"/>
    <n v="1"/>
  </r>
  <r>
    <x v="1"/>
    <s v="Travel_Rarely"/>
    <x v="0"/>
    <s v="Current Employees"/>
    <x v="1"/>
    <x v="2"/>
    <s v="STAFF-1148"/>
    <n v="1148"/>
    <x v="1"/>
    <x v="2"/>
    <x v="0"/>
    <s v="No"/>
    <s v="Y"/>
    <n v="3"/>
    <n v="-2"/>
    <n v="0"/>
    <n v="42"/>
    <n v="0"/>
    <m/>
    <n v="0"/>
    <n v="1"/>
    <n v="188"/>
    <n v="29"/>
    <x v="3"/>
    <n v="1"/>
    <n v="2"/>
    <n v="56"/>
    <n v="1"/>
    <n v="2"/>
    <n v="4"/>
    <n v="4272"/>
    <n v="9558"/>
    <n v="4"/>
    <n v="19"/>
    <n v="3"/>
    <n v="1"/>
    <n v="80"/>
    <n v="0"/>
    <n v="16"/>
    <n v="3"/>
    <n v="1"/>
    <n v="0"/>
    <n v="0"/>
    <n v="0"/>
  </r>
  <r>
    <x v="1"/>
    <s v="Travel_Rarely"/>
    <x v="2"/>
    <s v="Current Employees"/>
    <x v="1"/>
    <x v="2"/>
    <s v="STAFF-1150"/>
    <n v="1150"/>
    <x v="1"/>
    <x v="3"/>
    <x v="1"/>
    <s v="Yes"/>
    <s v="Y"/>
    <n v="2"/>
    <n v="-2"/>
    <n v="0"/>
    <n v="29"/>
    <n v="0"/>
    <m/>
    <n v="0"/>
    <n v="1"/>
    <n v="718"/>
    <n v="8"/>
    <x v="1"/>
    <n v="1"/>
    <n v="2"/>
    <n v="79"/>
    <n v="2"/>
    <n v="2"/>
    <n v="4"/>
    <n v="5056"/>
    <n v="17689"/>
    <n v="1"/>
    <n v="15"/>
    <n v="3"/>
    <n v="3"/>
    <n v="80"/>
    <n v="1"/>
    <n v="10"/>
    <n v="2"/>
    <n v="10"/>
    <n v="7"/>
    <n v="1"/>
    <n v="2"/>
  </r>
  <r>
    <x v="1"/>
    <s v="Travel_Rarely"/>
    <x v="0"/>
    <s v="Current Employees"/>
    <x v="2"/>
    <x v="5"/>
    <s v="STAFF-1152"/>
    <n v="1152"/>
    <x v="1"/>
    <x v="8"/>
    <x v="1"/>
    <s v="No"/>
    <s v="Y"/>
    <n v="2"/>
    <n v="-2"/>
    <n v="0"/>
    <n v="38"/>
    <n v="0"/>
    <m/>
    <n v="0"/>
    <n v="1"/>
    <n v="433"/>
    <n v="1"/>
    <x v="3"/>
    <n v="1"/>
    <n v="3"/>
    <n v="37"/>
    <n v="4"/>
    <n v="1"/>
    <n v="3"/>
    <n v="2844"/>
    <n v="6004"/>
    <n v="1"/>
    <n v="13"/>
    <n v="3"/>
    <n v="4"/>
    <n v="80"/>
    <n v="1"/>
    <n v="7"/>
    <n v="4"/>
    <n v="7"/>
    <n v="6"/>
    <n v="5"/>
    <n v="0"/>
  </r>
  <r>
    <x v="1"/>
    <s v="Travel_Frequently"/>
    <x v="2"/>
    <s v="Current Employees"/>
    <x v="1"/>
    <x v="0"/>
    <s v="STAFF-1154"/>
    <n v="1154"/>
    <x v="1"/>
    <x v="1"/>
    <x v="2"/>
    <s v="Yes"/>
    <s v="Y"/>
    <n v="2"/>
    <n v="-2"/>
    <n v="0"/>
    <n v="28"/>
    <n v="0"/>
    <m/>
    <n v="0"/>
    <n v="1"/>
    <n v="773"/>
    <n v="6"/>
    <x v="3"/>
    <n v="1"/>
    <n v="3"/>
    <n v="39"/>
    <n v="2"/>
    <n v="1"/>
    <n v="1"/>
    <n v="2703"/>
    <n v="22088"/>
    <n v="1"/>
    <n v="14"/>
    <n v="3"/>
    <n v="4"/>
    <n v="80"/>
    <n v="1"/>
    <n v="3"/>
    <n v="3"/>
    <n v="3"/>
    <n v="1"/>
    <n v="0"/>
    <n v="2"/>
  </r>
  <r>
    <x v="0"/>
    <s v="Non-Travel"/>
    <x v="4"/>
    <s v="Ex-Employees"/>
    <x v="1"/>
    <x v="2"/>
    <s v="STAFF-1156"/>
    <n v="1156"/>
    <x v="1"/>
    <x v="2"/>
    <x v="0"/>
    <s v="No"/>
    <s v="Y"/>
    <n v="0"/>
    <n v="-2"/>
    <n v="0"/>
    <n v="18"/>
    <n v="1"/>
    <n v="1"/>
    <n v="1"/>
    <n v="0"/>
    <n v="247"/>
    <n v="8"/>
    <x v="1"/>
    <n v="1"/>
    <n v="3"/>
    <n v="80"/>
    <n v="3"/>
    <n v="1"/>
    <n v="3"/>
    <n v="1904"/>
    <n v="13556"/>
    <n v="1"/>
    <n v="12"/>
    <n v="3"/>
    <n v="4"/>
    <n v="80"/>
    <n v="0"/>
    <n v="0"/>
    <n v="3"/>
    <n v="0"/>
    <n v="0"/>
    <n v="0"/>
    <n v="0"/>
  </r>
  <r>
    <x v="0"/>
    <s v="Travel_Rarely"/>
    <x v="2"/>
    <s v="Ex-Employees"/>
    <x v="0"/>
    <x v="3"/>
    <s v="STAFF-1157"/>
    <n v="1157"/>
    <x v="0"/>
    <x v="0"/>
    <x v="0"/>
    <s v="Yes"/>
    <s v="Y"/>
    <n v="3"/>
    <n v="-2"/>
    <n v="0"/>
    <n v="33"/>
    <n v="1"/>
    <n v="1"/>
    <n v="1"/>
    <n v="0"/>
    <n v="603"/>
    <n v="9"/>
    <x v="2"/>
    <n v="1"/>
    <n v="1"/>
    <n v="77"/>
    <n v="3"/>
    <n v="2"/>
    <n v="2"/>
    <n v="8224"/>
    <n v="18385"/>
    <n v="0"/>
    <n v="17"/>
    <n v="3"/>
    <n v="1"/>
    <n v="80"/>
    <n v="0"/>
    <n v="6"/>
    <n v="3"/>
    <n v="5"/>
    <n v="2"/>
    <n v="0"/>
    <n v="3"/>
  </r>
  <r>
    <x v="1"/>
    <s v="Travel_Rarely"/>
    <x v="0"/>
    <s v="Current Employees"/>
    <x v="1"/>
    <x v="0"/>
    <s v="STAFF-1158"/>
    <n v="1158"/>
    <x v="1"/>
    <x v="2"/>
    <x v="1"/>
    <s v="Yes"/>
    <s v="Y"/>
    <n v="4"/>
    <n v="-2"/>
    <n v="0"/>
    <n v="41"/>
    <n v="0"/>
    <m/>
    <n v="0"/>
    <n v="1"/>
    <n v="167"/>
    <n v="12"/>
    <x v="2"/>
    <n v="1"/>
    <n v="2"/>
    <n v="46"/>
    <n v="3"/>
    <n v="1"/>
    <n v="1"/>
    <n v="4766"/>
    <n v="9051"/>
    <n v="3"/>
    <n v="11"/>
    <n v="3"/>
    <n v="1"/>
    <n v="80"/>
    <n v="1"/>
    <n v="6"/>
    <n v="3"/>
    <n v="1"/>
    <n v="0"/>
    <n v="0"/>
    <n v="0"/>
  </r>
  <r>
    <x v="0"/>
    <s v="Travel_Frequently"/>
    <x v="2"/>
    <s v="Ex-Employees"/>
    <x v="1"/>
    <x v="2"/>
    <s v="STAFF-1160"/>
    <n v="1160"/>
    <x v="1"/>
    <x v="2"/>
    <x v="1"/>
    <s v="No"/>
    <s v="Y"/>
    <n v="5"/>
    <n v="-2"/>
    <n v="0"/>
    <n v="31"/>
    <n v="1"/>
    <n v="1"/>
    <n v="1"/>
    <n v="0"/>
    <n v="874"/>
    <n v="15"/>
    <x v="3"/>
    <n v="1"/>
    <n v="3"/>
    <n v="72"/>
    <n v="3"/>
    <n v="1"/>
    <n v="3"/>
    <n v="2610"/>
    <n v="6233"/>
    <n v="1"/>
    <n v="12"/>
    <n v="3"/>
    <n v="3"/>
    <n v="80"/>
    <n v="1"/>
    <n v="2"/>
    <n v="2"/>
    <n v="2"/>
    <n v="2"/>
    <n v="2"/>
    <n v="2"/>
  </r>
  <r>
    <x v="1"/>
    <s v="Travel_Rarely"/>
    <x v="0"/>
    <s v="Current Employees"/>
    <x v="1"/>
    <x v="2"/>
    <s v="STAFF-1161"/>
    <n v="1161"/>
    <x v="0"/>
    <x v="4"/>
    <x v="2"/>
    <s v="No"/>
    <s v="Y"/>
    <n v="2"/>
    <n v="-2"/>
    <n v="0"/>
    <n v="37"/>
    <n v="0"/>
    <m/>
    <n v="0"/>
    <n v="1"/>
    <n v="367"/>
    <n v="25"/>
    <x v="0"/>
    <n v="1"/>
    <n v="3"/>
    <n v="52"/>
    <n v="2"/>
    <n v="2"/>
    <n v="4"/>
    <n v="5731"/>
    <n v="17171"/>
    <n v="7"/>
    <n v="13"/>
    <n v="3"/>
    <n v="3"/>
    <n v="80"/>
    <n v="2"/>
    <n v="9"/>
    <n v="3"/>
    <n v="6"/>
    <n v="2"/>
    <n v="1"/>
    <n v="3"/>
  </r>
  <r>
    <x v="1"/>
    <s v="Travel_Rarely"/>
    <x v="2"/>
    <s v="Current Employees"/>
    <x v="1"/>
    <x v="0"/>
    <s v="STAFF-1162"/>
    <n v="1162"/>
    <x v="1"/>
    <x v="1"/>
    <x v="1"/>
    <s v="No"/>
    <s v="Y"/>
    <n v="0"/>
    <n v="-2"/>
    <n v="0"/>
    <n v="27"/>
    <n v="0"/>
    <m/>
    <n v="0"/>
    <n v="1"/>
    <n v="199"/>
    <n v="6"/>
    <x v="3"/>
    <n v="1"/>
    <n v="4"/>
    <n v="55"/>
    <n v="2"/>
    <n v="1"/>
    <n v="1"/>
    <n v="2539"/>
    <n v="7950"/>
    <n v="1"/>
    <n v="13"/>
    <n v="3"/>
    <n v="3"/>
    <n v="80"/>
    <n v="1"/>
    <n v="4"/>
    <n v="3"/>
    <n v="4"/>
    <n v="2"/>
    <n v="2"/>
    <n v="2"/>
  </r>
  <r>
    <x v="1"/>
    <s v="Travel_Rarely"/>
    <x v="2"/>
    <s v="Current Employees"/>
    <x v="0"/>
    <x v="0"/>
    <s v="STAFF-1163"/>
    <n v="1163"/>
    <x v="0"/>
    <x v="0"/>
    <x v="1"/>
    <s v="No"/>
    <s v="Y"/>
    <n v="3"/>
    <n v="-2"/>
    <n v="0"/>
    <n v="34"/>
    <n v="0"/>
    <m/>
    <n v="0"/>
    <n v="1"/>
    <n v="1400"/>
    <n v="9"/>
    <x v="1"/>
    <n v="1"/>
    <n v="2"/>
    <n v="70"/>
    <n v="3"/>
    <n v="2"/>
    <n v="1"/>
    <n v="5714"/>
    <n v="5829"/>
    <n v="1"/>
    <n v="20"/>
    <n v="4"/>
    <n v="1"/>
    <n v="80"/>
    <n v="0"/>
    <n v="6"/>
    <n v="2"/>
    <n v="6"/>
    <n v="5"/>
    <n v="1"/>
    <n v="3"/>
  </r>
  <r>
    <x v="1"/>
    <s v="Travel_Rarely"/>
    <x v="0"/>
    <s v="Current Employees"/>
    <x v="2"/>
    <x v="4"/>
    <s v="STAFF-1164"/>
    <n v="1164"/>
    <x v="1"/>
    <x v="8"/>
    <x v="0"/>
    <s v="No"/>
    <s v="Y"/>
    <n v="2"/>
    <n v="-2"/>
    <n v="0"/>
    <n v="35"/>
    <n v="0"/>
    <m/>
    <n v="0"/>
    <n v="1"/>
    <n v="528"/>
    <n v="8"/>
    <x v="2"/>
    <n v="1"/>
    <n v="4"/>
    <n v="100"/>
    <n v="3"/>
    <n v="1"/>
    <n v="4"/>
    <n v="4323"/>
    <n v="7108"/>
    <n v="1"/>
    <n v="17"/>
    <n v="3"/>
    <n v="2"/>
    <n v="80"/>
    <n v="0"/>
    <n v="6"/>
    <n v="1"/>
    <n v="5"/>
    <n v="4"/>
    <n v="1"/>
    <n v="4"/>
  </r>
  <r>
    <x v="0"/>
    <s v="Travel_Rarely"/>
    <x v="2"/>
    <s v="Ex-Employees"/>
    <x v="0"/>
    <x v="0"/>
    <s v="STAFF-1165"/>
    <n v="1165"/>
    <x v="0"/>
    <x v="0"/>
    <x v="1"/>
    <s v="No"/>
    <s v="Y"/>
    <n v="3"/>
    <n v="-2"/>
    <n v="0"/>
    <n v="29"/>
    <n v="1"/>
    <n v="1"/>
    <n v="1"/>
    <n v="0"/>
    <n v="408"/>
    <n v="23"/>
    <x v="1"/>
    <n v="1"/>
    <n v="4"/>
    <n v="45"/>
    <n v="2"/>
    <n v="3"/>
    <n v="1"/>
    <n v="7336"/>
    <n v="11162"/>
    <n v="1"/>
    <n v="13"/>
    <n v="3"/>
    <n v="1"/>
    <n v="80"/>
    <n v="1"/>
    <n v="11"/>
    <n v="1"/>
    <n v="11"/>
    <n v="8"/>
    <n v="3"/>
    <n v="10"/>
  </r>
  <r>
    <x v="1"/>
    <s v="Travel_Frequently"/>
    <x v="0"/>
    <s v="Current Employees"/>
    <x v="1"/>
    <x v="2"/>
    <s v="STAFF-1166"/>
    <n v="1166"/>
    <x v="0"/>
    <x v="7"/>
    <x v="0"/>
    <s v="No"/>
    <s v="Y"/>
    <n v="3"/>
    <n v="-2"/>
    <n v="0"/>
    <n v="40"/>
    <n v="0"/>
    <m/>
    <n v="0"/>
    <n v="1"/>
    <n v="593"/>
    <n v="9"/>
    <x v="2"/>
    <n v="1"/>
    <n v="2"/>
    <n v="88"/>
    <n v="3"/>
    <n v="3"/>
    <n v="3"/>
    <n v="13499"/>
    <n v="13782"/>
    <n v="9"/>
    <n v="17"/>
    <n v="3"/>
    <n v="3"/>
    <n v="80"/>
    <n v="0"/>
    <n v="20"/>
    <n v="2"/>
    <n v="18"/>
    <n v="7"/>
    <n v="2"/>
    <n v="13"/>
  </r>
  <r>
    <x v="0"/>
    <s v="Travel_Frequently"/>
    <x v="0"/>
    <s v="Ex-Employees"/>
    <x v="0"/>
    <x v="0"/>
    <s v="STAFF-1167"/>
    <n v="1167"/>
    <x v="1"/>
    <x v="0"/>
    <x v="0"/>
    <s v="Yes"/>
    <s v="Y"/>
    <n v="2"/>
    <n v="-2"/>
    <n v="0"/>
    <n v="42"/>
    <n v="1"/>
    <n v="1"/>
    <n v="1"/>
    <n v="0"/>
    <n v="481"/>
    <n v="12"/>
    <x v="3"/>
    <n v="1"/>
    <n v="3"/>
    <n v="44"/>
    <n v="3"/>
    <n v="4"/>
    <n v="1"/>
    <n v="13758"/>
    <n v="2447"/>
    <n v="0"/>
    <n v="12"/>
    <n v="3"/>
    <n v="2"/>
    <n v="80"/>
    <n v="0"/>
    <n v="22"/>
    <n v="2"/>
    <n v="21"/>
    <n v="9"/>
    <n v="13"/>
    <n v="14"/>
  </r>
  <r>
    <x v="1"/>
    <s v="Travel_Rarely"/>
    <x v="0"/>
    <s v="Current Employees"/>
    <x v="0"/>
    <x v="3"/>
    <s v="STAFF-1171"/>
    <n v="1171"/>
    <x v="1"/>
    <x v="0"/>
    <x v="0"/>
    <s v="No"/>
    <s v="Y"/>
    <n v="3"/>
    <n v="-2"/>
    <n v="0"/>
    <n v="42"/>
    <n v="0"/>
    <m/>
    <n v="0"/>
    <n v="1"/>
    <n v="647"/>
    <n v="4"/>
    <x v="2"/>
    <n v="1"/>
    <n v="2"/>
    <n v="45"/>
    <n v="3"/>
    <n v="2"/>
    <n v="2"/>
    <n v="5155"/>
    <n v="2253"/>
    <n v="7"/>
    <n v="13"/>
    <n v="3"/>
    <n v="4"/>
    <n v="80"/>
    <n v="0"/>
    <n v="9"/>
    <n v="4"/>
    <n v="6"/>
    <n v="4"/>
    <n v="1"/>
    <n v="5"/>
  </r>
  <r>
    <x v="1"/>
    <s v="Travel_Rarely"/>
    <x v="0"/>
    <s v="Current Employees"/>
    <x v="1"/>
    <x v="2"/>
    <s v="STAFF-1172"/>
    <n v="1172"/>
    <x v="1"/>
    <x v="2"/>
    <x v="1"/>
    <s v="No"/>
    <s v="Y"/>
    <n v="2"/>
    <n v="-2"/>
    <n v="0"/>
    <n v="35"/>
    <n v="0"/>
    <m/>
    <n v="0"/>
    <n v="1"/>
    <n v="982"/>
    <n v="1"/>
    <x v="2"/>
    <n v="1"/>
    <n v="4"/>
    <n v="58"/>
    <n v="2"/>
    <n v="1"/>
    <n v="3"/>
    <n v="2258"/>
    <n v="16340"/>
    <n v="6"/>
    <n v="12"/>
    <n v="3"/>
    <n v="2"/>
    <n v="80"/>
    <n v="1"/>
    <n v="10"/>
    <n v="3"/>
    <n v="8"/>
    <n v="0"/>
    <n v="1"/>
    <n v="7"/>
  </r>
  <r>
    <x v="1"/>
    <s v="Travel_Rarely"/>
    <x v="4"/>
    <s v="Current Employees"/>
    <x v="1"/>
    <x v="2"/>
    <s v="STAFF-1173"/>
    <n v="1173"/>
    <x v="1"/>
    <x v="2"/>
    <x v="0"/>
    <s v="No"/>
    <s v="Y"/>
    <n v="2"/>
    <n v="-2"/>
    <n v="0"/>
    <n v="24"/>
    <n v="0"/>
    <m/>
    <n v="0"/>
    <n v="1"/>
    <n v="477"/>
    <n v="24"/>
    <x v="3"/>
    <n v="1"/>
    <n v="4"/>
    <n v="49"/>
    <n v="3"/>
    <n v="1"/>
    <n v="2"/>
    <n v="3597"/>
    <n v="6409"/>
    <n v="8"/>
    <n v="22"/>
    <n v="4"/>
    <n v="4"/>
    <n v="80"/>
    <n v="0"/>
    <n v="6"/>
    <n v="3"/>
    <n v="4"/>
    <n v="3"/>
    <n v="1"/>
    <n v="2"/>
  </r>
  <r>
    <x v="0"/>
    <s v="Travel_Rarely"/>
    <x v="2"/>
    <s v="Ex-Employees"/>
    <x v="1"/>
    <x v="0"/>
    <s v="STAFF-1175"/>
    <n v="1175"/>
    <x v="0"/>
    <x v="2"/>
    <x v="1"/>
    <s v="Yes"/>
    <s v="Y"/>
    <n v="4"/>
    <n v="-2"/>
    <n v="0"/>
    <n v="28"/>
    <n v="1"/>
    <n v="1"/>
    <n v="1"/>
    <n v="0"/>
    <n v="1485"/>
    <n v="12"/>
    <x v="1"/>
    <n v="1"/>
    <n v="3"/>
    <n v="79"/>
    <n v="3"/>
    <n v="1"/>
    <n v="1"/>
    <n v="2515"/>
    <n v="22955"/>
    <n v="1"/>
    <n v="11"/>
    <n v="3"/>
    <n v="4"/>
    <n v="80"/>
    <n v="0"/>
    <n v="1"/>
    <n v="2"/>
    <n v="1"/>
    <n v="1"/>
    <n v="0"/>
    <n v="0"/>
  </r>
  <r>
    <x v="1"/>
    <s v="Travel_Rarely"/>
    <x v="2"/>
    <s v="Current Employees"/>
    <x v="1"/>
    <x v="2"/>
    <s v="STAFF-1177"/>
    <n v="1177"/>
    <x v="1"/>
    <x v="2"/>
    <x v="1"/>
    <s v="No"/>
    <s v="Y"/>
    <n v="2"/>
    <n v="-2"/>
    <n v="0"/>
    <n v="26"/>
    <n v="0"/>
    <m/>
    <n v="0"/>
    <n v="1"/>
    <n v="1384"/>
    <n v="3"/>
    <x v="2"/>
    <n v="1"/>
    <n v="1"/>
    <n v="82"/>
    <n v="4"/>
    <n v="1"/>
    <n v="4"/>
    <n v="4420"/>
    <n v="13421"/>
    <n v="1"/>
    <n v="22"/>
    <n v="4"/>
    <n v="2"/>
    <n v="80"/>
    <n v="1"/>
    <n v="8"/>
    <n v="3"/>
    <n v="8"/>
    <n v="7"/>
    <n v="0"/>
    <n v="7"/>
  </r>
  <r>
    <x v="1"/>
    <s v="Travel_Rarely"/>
    <x v="2"/>
    <s v="Current Employees"/>
    <x v="0"/>
    <x v="3"/>
    <s v="STAFF-1179"/>
    <n v="1179"/>
    <x v="1"/>
    <x v="0"/>
    <x v="1"/>
    <s v="No"/>
    <s v="Y"/>
    <n v="3"/>
    <n v="-2"/>
    <n v="0"/>
    <n v="30"/>
    <n v="0"/>
    <m/>
    <n v="0"/>
    <n v="1"/>
    <n v="852"/>
    <n v="10"/>
    <x v="3"/>
    <n v="1"/>
    <n v="3"/>
    <n v="72"/>
    <n v="2"/>
    <n v="2"/>
    <n v="2"/>
    <n v="6578"/>
    <n v="2706"/>
    <n v="1"/>
    <n v="18"/>
    <n v="3"/>
    <n v="1"/>
    <n v="80"/>
    <n v="1"/>
    <n v="10"/>
    <n v="3"/>
    <n v="10"/>
    <n v="3"/>
    <n v="1"/>
    <n v="4"/>
  </r>
  <r>
    <x v="1"/>
    <s v="Travel_Frequently"/>
    <x v="0"/>
    <s v="Current Employees"/>
    <x v="1"/>
    <x v="2"/>
    <s v="STAFF-1180"/>
    <n v="1180"/>
    <x v="0"/>
    <x v="1"/>
    <x v="1"/>
    <s v="Yes"/>
    <s v="Y"/>
    <n v="3"/>
    <n v="-2"/>
    <n v="0"/>
    <n v="40"/>
    <n v="0"/>
    <m/>
    <n v="0"/>
    <n v="1"/>
    <n v="902"/>
    <n v="26"/>
    <x v="0"/>
    <n v="1"/>
    <n v="3"/>
    <n v="92"/>
    <n v="2"/>
    <n v="2"/>
    <n v="4"/>
    <n v="4422"/>
    <n v="21203"/>
    <n v="3"/>
    <n v="13"/>
    <n v="3"/>
    <n v="4"/>
    <n v="80"/>
    <n v="1"/>
    <n v="16"/>
    <n v="1"/>
    <n v="1"/>
    <n v="1"/>
    <n v="0"/>
    <n v="0"/>
  </r>
  <r>
    <x v="1"/>
    <s v="Travel_Rarely"/>
    <x v="0"/>
    <s v="Current Employees"/>
    <x v="1"/>
    <x v="0"/>
    <s v="STAFF-1182"/>
    <n v="1182"/>
    <x v="1"/>
    <x v="3"/>
    <x v="2"/>
    <s v="No"/>
    <s v="Y"/>
    <n v="2"/>
    <n v="-2"/>
    <n v="0"/>
    <n v="35"/>
    <n v="0"/>
    <m/>
    <n v="0"/>
    <n v="1"/>
    <n v="819"/>
    <n v="2"/>
    <x v="3"/>
    <n v="1"/>
    <n v="3"/>
    <n v="44"/>
    <n v="2"/>
    <n v="3"/>
    <n v="1"/>
    <n v="10274"/>
    <n v="19588"/>
    <n v="2"/>
    <n v="18"/>
    <n v="3"/>
    <n v="2"/>
    <n v="80"/>
    <n v="1"/>
    <n v="15"/>
    <n v="4"/>
    <n v="7"/>
    <n v="7"/>
    <n v="6"/>
    <n v="4"/>
  </r>
  <r>
    <x v="1"/>
    <s v="Travel_Frequently"/>
    <x v="2"/>
    <s v="Current Employees"/>
    <x v="1"/>
    <x v="2"/>
    <s v="STAFF-1184"/>
    <n v="1184"/>
    <x v="1"/>
    <x v="4"/>
    <x v="0"/>
    <s v="No"/>
    <s v="Y"/>
    <n v="3"/>
    <n v="-2"/>
    <n v="0"/>
    <n v="34"/>
    <n v="0"/>
    <m/>
    <n v="0"/>
    <n v="1"/>
    <n v="669"/>
    <n v="1"/>
    <x v="3"/>
    <n v="1"/>
    <n v="4"/>
    <n v="97"/>
    <n v="2"/>
    <n v="2"/>
    <n v="3"/>
    <n v="5343"/>
    <n v="25755"/>
    <n v="0"/>
    <n v="20"/>
    <n v="4"/>
    <n v="3"/>
    <n v="80"/>
    <n v="0"/>
    <n v="14"/>
    <n v="3"/>
    <n v="13"/>
    <n v="9"/>
    <n v="4"/>
    <n v="9"/>
  </r>
  <r>
    <x v="1"/>
    <s v="Travel_Frequently"/>
    <x v="0"/>
    <s v="Current Employees"/>
    <x v="1"/>
    <x v="1"/>
    <s v="STAFF-1185"/>
    <n v="1185"/>
    <x v="1"/>
    <x v="2"/>
    <x v="1"/>
    <s v="No"/>
    <s v="Y"/>
    <n v="2"/>
    <n v="-2"/>
    <n v="0"/>
    <n v="35"/>
    <n v="0"/>
    <m/>
    <n v="0"/>
    <n v="1"/>
    <n v="636"/>
    <n v="4"/>
    <x v="2"/>
    <n v="1"/>
    <n v="4"/>
    <n v="47"/>
    <n v="2"/>
    <n v="1"/>
    <n v="4"/>
    <n v="2376"/>
    <n v="26537"/>
    <n v="1"/>
    <n v="13"/>
    <n v="3"/>
    <n v="2"/>
    <n v="80"/>
    <n v="1"/>
    <n v="2"/>
    <n v="4"/>
    <n v="2"/>
    <n v="2"/>
    <n v="2"/>
    <n v="2"/>
  </r>
  <r>
    <x v="0"/>
    <s v="Travel_Rarely"/>
    <x v="0"/>
    <s v="Ex-Employees"/>
    <x v="0"/>
    <x v="3"/>
    <s v="STAFF-1188"/>
    <n v="1188"/>
    <x v="0"/>
    <x v="0"/>
    <x v="0"/>
    <s v="No"/>
    <s v="Y"/>
    <n v="2"/>
    <n v="-2"/>
    <n v="0"/>
    <n v="43"/>
    <n v="1"/>
    <n v="1"/>
    <n v="1"/>
    <n v="0"/>
    <n v="1372"/>
    <n v="9"/>
    <x v="3"/>
    <n v="1"/>
    <n v="1"/>
    <n v="85"/>
    <n v="1"/>
    <n v="2"/>
    <n v="2"/>
    <n v="5346"/>
    <n v="9489"/>
    <n v="8"/>
    <n v="13"/>
    <n v="3"/>
    <n v="2"/>
    <n v="80"/>
    <n v="0"/>
    <n v="7"/>
    <n v="2"/>
    <n v="4"/>
    <n v="3"/>
    <n v="1"/>
    <n v="3"/>
  </r>
  <r>
    <x v="1"/>
    <s v="Non-Travel"/>
    <x v="2"/>
    <s v="Current Employees"/>
    <x v="0"/>
    <x v="0"/>
    <s v="STAFF-1190"/>
    <n v="1190"/>
    <x v="0"/>
    <x v="6"/>
    <x v="2"/>
    <s v="No"/>
    <s v="Y"/>
    <n v="3"/>
    <n v="-2"/>
    <n v="0"/>
    <n v="32"/>
    <n v="0"/>
    <m/>
    <n v="0"/>
    <n v="1"/>
    <n v="862"/>
    <n v="2"/>
    <x v="1"/>
    <n v="1"/>
    <n v="3"/>
    <n v="76"/>
    <n v="3"/>
    <n v="1"/>
    <n v="1"/>
    <n v="2827"/>
    <n v="14947"/>
    <n v="1"/>
    <n v="12"/>
    <n v="3"/>
    <n v="3"/>
    <n v="80"/>
    <n v="3"/>
    <n v="1"/>
    <n v="3"/>
    <n v="1"/>
    <n v="0"/>
    <n v="0"/>
    <n v="0"/>
  </r>
  <r>
    <x v="1"/>
    <s v="Travel_Rarely"/>
    <x v="3"/>
    <s v="Current Employees"/>
    <x v="1"/>
    <x v="4"/>
    <s v="STAFF-1191"/>
    <n v="1191"/>
    <x v="0"/>
    <x v="5"/>
    <x v="2"/>
    <s v="No"/>
    <s v="Y"/>
    <n v="2"/>
    <n v="-2"/>
    <n v="0"/>
    <n v="56"/>
    <n v="0"/>
    <m/>
    <n v="0"/>
    <n v="1"/>
    <n v="718"/>
    <n v="4"/>
    <x v="2"/>
    <n v="1"/>
    <n v="4"/>
    <n v="92"/>
    <n v="3"/>
    <n v="5"/>
    <n v="4"/>
    <n v="19943"/>
    <n v="18575"/>
    <n v="4"/>
    <n v="13"/>
    <n v="3"/>
    <n v="4"/>
    <n v="80"/>
    <n v="1"/>
    <n v="28"/>
    <n v="3"/>
    <n v="5"/>
    <n v="2"/>
    <n v="4"/>
    <n v="2"/>
  </r>
  <r>
    <x v="1"/>
    <s v="Travel_Rarely"/>
    <x v="2"/>
    <s v="Current Employees"/>
    <x v="1"/>
    <x v="2"/>
    <s v="STAFF-1192"/>
    <n v="1192"/>
    <x v="0"/>
    <x v="2"/>
    <x v="1"/>
    <s v="No"/>
    <s v="Y"/>
    <n v="5"/>
    <n v="-2"/>
    <n v="0"/>
    <n v="29"/>
    <n v="0"/>
    <m/>
    <n v="0"/>
    <n v="1"/>
    <n v="1401"/>
    <n v="6"/>
    <x v="1"/>
    <n v="1"/>
    <n v="2"/>
    <n v="54"/>
    <n v="3"/>
    <n v="1"/>
    <n v="4"/>
    <n v="3131"/>
    <n v="26342"/>
    <n v="1"/>
    <n v="13"/>
    <n v="3"/>
    <n v="1"/>
    <n v="80"/>
    <n v="1"/>
    <n v="10"/>
    <n v="3"/>
    <n v="10"/>
    <n v="8"/>
    <n v="0"/>
    <n v="8"/>
  </r>
  <r>
    <x v="1"/>
    <s v="Travel_Rarely"/>
    <x v="4"/>
    <s v="Current Employees"/>
    <x v="1"/>
    <x v="0"/>
    <s v="STAFF-1193"/>
    <n v="1193"/>
    <x v="1"/>
    <x v="1"/>
    <x v="0"/>
    <s v="No"/>
    <s v="Y"/>
    <n v="4"/>
    <n v="-2"/>
    <n v="0"/>
    <n v="19"/>
    <n v="0"/>
    <m/>
    <n v="0"/>
    <n v="1"/>
    <n v="645"/>
    <n v="9"/>
    <x v="0"/>
    <n v="1"/>
    <n v="3"/>
    <n v="54"/>
    <n v="3"/>
    <n v="1"/>
    <n v="1"/>
    <n v="2552"/>
    <n v="7172"/>
    <n v="1"/>
    <n v="25"/>
    <n v="4"/>
    <n v="3"/>
    <n v="80"/>
    <n v="0"/>
    <n v="1"/>
    <n v="3"/>
    <n v="1"/>
    <n v="1"/>
    <n v="0"/>
    <n v="0"/>
  </r>
  <r>
    <x v="1"/>
    <s v="Travel_Rarely"/>
    <x v="1"/>
    <s v="Current Employees"/>
    <x v="1"/>
    <x v="2"/>
    <s v="STAFF-1195"/>
    <n v="1195"/>
    <x v="0"/>
    <x v="1"/>
    <x v="1"/>
    <s v="Yes"/>
    <s v="Y"/>
    <n v="2"/>
    <n v="-2"/>
    <n v="0"/>
    <n v="45"/>
    <n v="0"/>
    <m/>
    <n v="0"/>
    <n v="1"/>
    <n v="1457"/>
    <n v="7"/>
    <x v="3"/>
    <n v="1"/>
    <n v="1"/>
    <n v="83"/>
    <n v="3"/>
    <n v="1"/>
    <n v="3"/>
    <n v="4477"/>
    <n v="20100"/>
    <n v="4"/>
    <n v="19"/>
    <n v="3"/>
    <n v="3"/>
    <n v="80"/>
    <n v="1"/>
    <n v="7"/>
    <n v="2"/>
    <n v="3"/>
    <n v="2"/>
    <n v="0"/>
    <n v="2"/>
  </r>
  <r>
    <x v="1"/>
    <s v="Travel_Rarely"/>
    <x v="0"/>
    <s v="Current Employees"/>
    <x v="1"/>
    <x v="0"/>
    <s v="STAFF-1196"/>
    <n v="1196"/>
    <x v="0"/>
    <x v="3"/>
    <x v="1"/>
    <s v="No"/>
    <s v="Y"/>
    <n v="2"/>
    <n v="-2"/>
    <n v="0"/>
    <n v="37"/>
    <n v="0"/>
    <m/>
    <n v="0"/>
    <n v="1"/>
    <n v="977"/>
    <n v="1"/>
    <x v="3"/>
    <n v="1"/>
    <n v="4"/>
    <n v="56"/>
    <n v="2"/>
    <n v="2"/>
    <n v="1"/>
    <n v="6474"/>
    <n v="9961"/>
    <n v="1"/>
    <n v="13"/>
    <n v="3"/>
    <n v="2"/>
    <n v="80"/>
    <n v="1"/>
    <n v="14"/>
    <n v="2"/>
    <n v="14"/>
    <n v="8"/>
    <n v="3"/>
    <n v="11"/>
  </r>
  <r>
    <x v="1"/>
    <s v="Travel_Rarely"/>
    <x v="4"/>
    <s v="Current Employees"/>
    <x v="1"/>
    <x v="0"/>
    <s v="STAFF-1198"/>
    <n v="1198"/>
    <x v="1"/>
    <x v="2"/>
    <x v="0"/>
    <s v="No"/>
    <s v="Y"/>
    <n v="2"/>
    <n v="-2"/>
    <n v="0"/>
    <n v="20"/>
    <n v="0"/>
    <m/>
    <n v="0"/>
    <n v="1"/>
    <n v="805"/>
    <n v="3"/>
    <x v="3"/>
    <n v="1"/>
    <n v="1"/>
    <n v="87"/>
    <n v="2"/>
    <n v="1"/>
    <n v="1"/>
    <n v="3033"/>
    <n v="12828"/>
    <n v="1"/>
    <n v="12"/>
    <n v="3"/>
    <n v="1"/>
    <n v="80"/>
    <n v="0"/>
    <n v="2"/>
    <n v="2"/>
    <n v="2"/>
    <n v="2"/>
    <n v="1"/>
    <n v="2"/>
  </r>
  <r>
    <x v="0"/>
    <s v="Travel_Rarely"/>
    <x v="0"/>
    <s v="Ex-Employees"/>
    <x v="1"/>
    <x v="0"/>
    <s v="STAFF-1200"/>
    <n v="1200"/>
    <x v="1"/>
    <x v="1"/>
    <x v="0"/>
    <s v="Yes"/>
    <s v="Y"/>
    <n v="4"/>
    <n v="-2"/>
    <n v="0"/>
    <n v="44"/>
    <n v="1"/>
    <n v="1"/>
    <n v="1"/>
    <n v="0"/>
    <n v="1097"/>
    <n v="10"/>
    <x v="2"/>
    <n v="1"/>
    <n v="3"/>
    <n v="96"/>
    <n v="3"/>
    <n v="1"/>
    <n v="1"/>
    <n v="2936"/>
    <n v="10826"/>
    <n v="1"/>
    <n v="11"/>
    <n v="3"/>
    <n v="3"/>
    <n v="80"/>
    <n v="0"/>
    <n v="6"/>
    <n v="3"/>
    <n v="6"/>
    <n v="4"/>
    <n v="0"/>
    <n v="2"/>
  </r>
  <r>
    <x v="1"/>
    <s v="Travel_Rarely"/>
    <x v="1"/>
    <s v="Current Employees"/>
    <x v="1"/>
    <x v="2"/>
    <s v="STAFF-1201"/>
    <n v="1201"/>
    <x v="0"/>
    <x v="5"/>
    <x v="2"/>
    <s v="No"/>
    <s v="Y"/>
    <n v="6"/>
    <n v="-2"/>
    <n v="0"/>
    <n v="53"/>
    <n v="0"/>
    <m/>
    <n v="0"/>
    <n v="1"/>
    <n v="1223"/>
    <n v="7"/>
    <x v="0"/>
    <n v="1"/>
    <n v="4"/>
    <n v="50"/>
    <n v="3"/>
    <n v="5"/>
    <n v="3"/>
    <n v="18606"/>
    <n v="18640"/>
    <n v="3"/>
    <n v="18"/>
    <n v="3"/>
    <n v="2"/>
    <n v="80"/>
    <n v="1"/>
    <n v="26"/>
    <n v="3"/>
    <n v="7"/>
    <n v="7"/>
    <n v="4"/>
    <n v="7"/>
  </r>
  <r>
    <x v="1"/>
    <s v="Travel_Rarely"/>
    <x v="2"/>
    <s v="Current Employees"/>
    <x v="1"/>
    <x v="0"/>
    <s v="STAFF-1202"/>
    <n v="1202"/>
    <x v="0"/>
    <x v="1"/>
    <x v="1"/>
    <s v="Yes"/>
    <s v="Y"/>
    <n v="2"/>
    <n v="-2"/>
    <n v="0"/>
    <n v="29"/>
    <n v="0"/>
    <m/>
    <n v="0"/>
    <n v="1"/>
    <n v="942"/>
    <n v="15"/>
    <x v="1"/>
    <n v="1"/>
    <n v="2"/>
    <n v="69"/>
    <n v="1"/>
    <n v="1"/>
    <n v="1"/>
    <n v="2168"/>
    <n v="26933"/>
    <n v="0"/>
    <n v="18"/>
    <n v="3"/>
    <n v="1"/>
    <n v="80"/>
    <n v="1"/>
    <n v="6"/>
    <n v="2"/>
    <n v="5"/>
    <n v="4"/>
    <n v="1"/>
    <n v="3"/>
  </r>
  <r>
    <x v="0"/>
    <s v="Travel_Frequently"/>
    <x v="4"/>
    <s v="Ex-Employees"/>
    <x v="1"/>
    <x v="0"/>
    <s v="STAFF-1203"/>
    <n v="1203"/>
    <x v="1"/>
    <x v="1"/>
    <x v="1"/>
    <s v="Yes"/>
    <s v="Y"/>
    <n v="5"/>
    <n v="-2"/>
    <n v="0"/>
    <n v="22"/>
    <n v="1"/>
    <n v="1"/>
    <n v="1"/>
    <n v="0"/>
    <n v="1256"/>
    <n v="3"/>
    <x v="2"/>
    <n v="1"/>
    <n v="3"/>
    <n v="48"/>
    <n v="2"/>
    <n v="1"/>
    <n v="1"/>
    <n v="2853"/>
    <n v="4223"/>
    <n v="0"/>
    <n v="11"/>
    <n v="3"/>
    <n v="2"/>
    <n v="80"/>
    <n v="1"/>
    <n v="1"/>
    <n v="3"/>
    <n v="0"/>
    <n v="0"/>
    <n v="0"/>
    <n v="0"/>
  </r>
  <r>
    <x v="1"/>
    <s v="Travel_Rarely"/>
    <x v="1"/>
    <s v="Current Employees"/>
    <x v="0"/>
    <x v="3"/>
    <s v="STAFF-1204"/>
    <n v="1204"/>
    <x v="0"/>
    <x v="5"/>
    <x v="1"/>
    <s v="No"/>
    <s v="Y"/>
    <n v="2"/>
    <n v="-2"/>
    <n v="0"/>
    <n v="46"/>
    <n v="0"/>
    <m/>
    <n v="0"/>
    <n v="1"/>
    <n v="1402"/>
    <n v="2"/>
    <x v="3"/>
    <n v="1"/>
    <n v="3"/>
    <n v="69"/>
    <n v="3"/>
    <n v="4"/>
    <n v="2"/>
    <n v="17048"/>
    <n v="24097"/>
    <n v="8"/>
    <n v="23"/>
    <n v="4"/>
    <n v="1"/>
    <n v="80"/>
    <n v="0"/>
    <n v="28"/>
    <n v="3"/>
    <n v="26"/>
    <n v="15"/>
    <n v="15"/>
    <n v="9"/>
  </r>
  <r>
    <x v="1"/>
    <s v="Non-Travel"/>
    <x v="0"/>
    <s v="Current Employees"/>
    <x v="1"/>
    <x v="0"/>
    <s v="STAFF-1206"/>
    <n v="1206"/>
    <x v="1"/>
    <x v="1"/>
    <x v="0"/>
    <s v="No"/>
    <s v="Y"/>
    <n v="3"/>
    <n v="-2"/>
    <n v="0"/>
    <n v="44"/>
    <n v="0"/>
    <m/>
    <n v="0"/>
    <n v="1"/>
    <n v="111"/>
    <n v="17"/>
    <x v="3"/>
    <n v="1"/>
    <n v="4"/>
    <n v="74"/>
    <n v="1"/>
    <n v="1"/>
    <n v="1"/>
    <n v="2290"/>
    <n v="4279"/>
    <n v="2"/>
    <n v="13"/>
    <n v="3"/>
    <n v="4"/>
    <n v="80"/>
    <n v="0"/>
    <n v="6"/>
    <n v="3"/>
    <n v="0"/>
    <n v="0"/>
    <n v="0"/>
    <n v="0"/>
  </r>
  <r>
    <x v="1"/>
    <s v="Travel_Rarely"/>
    <x v="2"/>
    <s v="Current Employees"/>
    <x v="2"/>
    <x v="5"/>
    <s v="STAFF-1207"/>
    <n v="1207"/>
    <x v="1"/>
    <x v="8"/>
    <x v="1"/>
    <s v="No"/>
    <s v="Y"/>
    <n v="2"/>
    <n v="-2"/>
    <n v="0"/>
    <n v="33"/>
    <n v="0"/>
    <m/>
    <n v="0"/>
    <n v="1"/>
    <n v="147"/>
    <n v="2"/>
    <x v="3"/>
    <n v="1"/>
    <n v="2"/>
    <n v="99"/>
    <n v="3"/>
    <n v="1"/>
    <n v="3"/>
    <n v="3600"/>
    <n v="8429"/>
    <n v="1"/>
    <n v="13"/>
    <n v="3"/>
    <n v="4"/>
    <n v="80"/>
    <n v="1"/>
    <n v="5"/>
    <n v="3"/>
    <n v="5"/>
    <n v="4"/>
    <n v="1"/>
    <n v="4"/>
  </r>
  <r>
    <x v="0"/>
    <s v="Non-Travel"/>
    <x v="0"/>
    <s v="Ex-Employees"/>
    <x v="1"/>
    <x v="0"/>
    <s v="STAFF-1210"/>
    <n v="1210"/>
    <x v="1"/>
    <x v="1"/>
    <x v="2"/>
    <s v="No"/>
    <s v="Y"/>
    <n v="2"/>
    <n v="-2"/>
    <n v="0"/>
    <n v="41"/>
    <n v="1"/>
    <n v="1"/>
    <n v="1"/>
    <n v="0"/>
    <n v="906"/>
    <n v="5"/>
    <x v="0"/>
    <n v="1"/>
    <n v="1"/>
    <n v="95"/>
    <n v="2"/>
    <n v="1"/>
    <n v="1"/>
    <n v="2107"/>
    <n v="20293"/>
    <n v="6"/>
    <n v="17"/>
    <n v="3"/>
    <n v="1"/>
    <n v="80"/>
    <n v="1"/>
    <n v="5"/>
    <n v="1"/>
    <n v="1"/>
    <n v="0"/>
    <n v="0"/>
    <n v="0"/>
  </r>
  <r>
    <x v="1"/>
    <s v="Travel_Rarely"/>
    <x v="2"/>
    <s v="Current Employees"/>
    <x v="0"/>
    <x v="0"/>
    <s v="STAFF-1211"/>
    <n v="1211"/>
    <x v="1"/>
    <x v="0"/>
    <x v="2"/>
    <s v="No"/>
    <s v="Y"/>
    <n v="3"/>
    <n v="-2"/>
    <n v="0"/>
    <n v="30"/>
    <n v="0"/>
    <m/>
    <n v="0"/>
    <n v="1"/>
    <n v="1329"/>
    <n v="29"/>
    <x v="2"/>
    <n v="1"/>
    <n v="3"/>
    <n v="61"/>
    <n v="3"/>
    <n v="2"/>
    <n v="1"/>
    <n v="4115"/>
    <n v="13192"/>
    <n v="8"/>
    <n v="19"/>
    <n v="3"/>
    <n v="3"/>
    <n v="80"/>
    <n v="3"/>
    <n v="8"/>
    <n v="3"/>
    <n v="4"/>
    <n v="3"/>
    <n v="0"/>
    <n v="3"/>
  </r>
  <r>
    <x v="1"/>
    <s v="Travel_Frequently"/>
    <x v="0"/>
    <s v="Current Employees"/>
    <x v="0"/>
    <x v="2"/>
    <s v="STAFF-1212"/>
    <n v="1212"/>
    <x v="1"/>
    <x v="0"/>
    <x v="1"/>
    <s v="No"/>
    <s v="Y"/>
    <n v="2"/>
    <n v="-2"/>
    <n v="0"/>
    <n v="40"/>
    <n v="0"/>
    <m/>
    <n v="0"/>
    <n v="1"/>
    <n v="1184"/>
    <n v="2"/>
    <x v="2"/>
    <n v="1"/>
    <n v="2"/>
    <n v="62"/>
    <n v="3"/>
    <n v="2"/>
    <n v="2"/>
    <n v="4327"/>
    <n v="25440"/>
    <n v="5"/>
    <n v="12"/>
    <n v="3"/>
    <n v="4"/>
    <n v="80"/>
    <n v="3"/>
    <n v="5"/>
    <n v="3"/>
    <n v="0"/>
    <n v="0"/>
    <n v="0"/>
    <n v="0"/>
  </r>
  <r>
    <x v="1"/>
    <s v="Travel_Frequently"/>
    <x v="1"/>
    <s v="Current Employees"/>
    <x v="1"/>
    <x v="2"/>
    <s v="STAFF-1215"/>
    <n v="1215"/>
    <x v="0"/>
    <x v="5"/>
    <x v="1"/>
    <s v="No"/>
    <s v="Y"/>
    <n v="3"/>
    <n v="-2"/>
    <n v="0"/>
    <n v="50"/>
    <n v="0"/>
    <m/>
    <n v="0"/>
    <n v="1"/>
    <n v="1421"/>
    <n v="2"/>
    <x v="3"/>
    <n v="1"/>
    <n v="4"/>
    <n v="30"/>
    <n v="3"/>
    <n v="4"/>
    <n v="3"/>
    <n v="17856"/>
    <n v="9490"/>
    <n v="2"/>
    <n v="22"/>
    <n v="4"/>
    <n v="3"/>
    <n v="80"/>
    <n v="1"/>
    <n v="32"/>
    <n v="3"/>
    <n v="2"/>
    <n v="2"/>
    <n v="2"/>
    <n v="2"/>
  </r>
  <r>
    <x v="1"/>
    <s v="Travel_Rarely"/>
    <x v="2"/>
    <s v="Current Employees"/>
    <x v="1"/>
    <x v="2"/>
    <s v="STAFF-1216"/>
    <n v="1216"/>
    <x v="1"/>
    <x v="2"/>
    <x v="1"/>
    <s v="No"/>
    <s v="Y"/>
    <n v="2"/>
    <n v="-2"/>
    <n v="0"/>
    <n v="28"/>
    <n v="0"/>
    <m/>
    <n v="0"/>
    <n v="1"/>
    <n v="1179"/>
    <n v="19"/>
    <x v="2"/>
    <n v="1"/>
    <n v="4"/>
    <n v="78"/>
    <n v="2"/>
    <n v="1"/>
    <n v="3"/>
    <n v="3196"/>
    <n v="12449"/>
    <n v="1"/>
    <n v="12"/>
    <n v="3"/>
    <n v="3"/>
    <n v="80"/>
    <n v="3"/>
    <n v="6"/>
    <n v="3"/>
    <n v="6"/>
    <n v="5"/>
    <n v="3"/>
    <n v="3"/>
  </r>
  <r>
    <x v="1"/>
    <s v="Travel_Rarely"/>
    <x v="1"/>
    <s v="Current Employees"/>
    <x v="1"/>
    <x v="0"/>
    <s v="STAFF-1217"/>
    <n v="1217"/>
    <x v="1"/>
    <x v="7"/>
    <x v="1"/>
    <s v="No"/>
    <s v="Y"/>
    <n v="2"/>
    <n v="-2"/>
    <n v="0"/>
    <n v="46"/>
    <n v="0"/>
    <m/>
    <n v="0"/>
    <n v="1"/>
    <n v="1450"/>
    <n v="15"/>
    <x v="0"/>
    <n v="1"/>
    <n v="4"/>
    <n v="52"/>
    <n v="3"/>
    <n v="5"/>
    <n v="1"/>
    <n v="19081"/>
    <n v="10849"/>
    <n v="5"/>
    <n v="11"/>
    <n v="3"/>
    <n v="1"/>
    <n v="80"/>
    <n v="1"/>
    <n v="25"/>
    <n v="3"/>
    <n v="4"/>
    <n v="2"/>
    <n v="0"/>
    <n v="3"/>
  </r>
  <r>
    <x v="1"/>
    <s v="Travel_Rarely"/>
    <x v="0"/>
    <s v="Current Employees"/>
    <x v="0"/>
    <x v="0"/>
    <s v="STAFF-1218"/>
    <n v="1218"/>
    <x v="1"/>
    <x v="0"/>
    <x v="1"/>
    <s v="Yes"/>
    <s v="Y"/>
    <n v="2"/>
    <n v="-2"/>
    <n v="0"/>
    <n v="35"/>
    <n v="0"/>
    <m/>
    <n v="0"/>
    <n v="1"/>
    <n v="1361"/>
    <n v="17"/>
    <x v="2"/>
    <n v="1"/>
    <n v="3"/>
    <n v="94"/>
    <n v="3"/>
    <n v="2"/>
    <n v="1"/>
    <n v="8966"/>
    <n v="21026"/>
    <n v="3"/>
    <n v="15"/>
    <n v="3"/>
    <n v="4"/>
    <n v="80"/>
    <n v="3"/>
    <n v="15"/>
    <n v="3"/>
    <n v="7"/>
    <n v="7"/>
    <n v="1"/>
    <n v="7"/>
  </r>
  <r>
    <x v="0"/>
    <s v="Travel_Rarely"/>
    <x v="4"/>
    <s v="Ex-Employees"/>
    <x v="1"/>
    <x v="0"/>
    <s v="STAFF-1219"/>
    <n v="1219"/>
    <x v="0"/>
    <x v="2"/>
    <x v="1"/>
    <s v="No"/>
    <s v="Y"/>
    <n v="3"/>
    <n v="-2"/>
    <n v="0"/>
    <n v="24"/>
    <n v="1"/>
    <n v="1"/>
    <n v="1"/>
    <n v="0"/>
    <n v="984"/>
    <n v="17"/>
    <x v="0"/>
    <n v="1"/>
    <n v="4"/>
    <n v="97"/>
    <n v="3"/>
    <n v="1"/>
    <n v="1"/>
    <n v="2210"/>
    <n v="3372"/>
    <n v="1"/>
    <n v="13"/>
    <n v="3"/>
    <n v="1"/>
    <n v="80"/>
    <n v="1"/>
    <n v="1"/>
    <n v="1"/>
    <n v="1"/>
    <n v="0"/>
    <n v="0"/>
    <n v="0"/>
  </r>
  <r>
    <x v="1"/>
    <s v="Travel_Frequently"/>
    <x v="2"/>
    <s v="Current Employees"/>
    <x v="0"/>
    <x v="2"/>
    <s v="STAFF-1220"/>
    <n v="1220"/>
    <x v="0"/>
    <x v="0"/>
    <x v="1"/>
    <s v="No"/>
    <s v="Y"/>
    <n v="3"/>
    <n v="-2"/>
    <n v="0"/>
    <n v="33"/>
    <n v="0"/>
    <m/>
    <n v="0"/>
    <n v="1"/>
    <n v="1146"/>
    <n v="25"/>
    <x v="3"/>
    <n v="1"/>
    <n v="2"/>
    <n v="82"/>
    <n v="3"/>
    <n v="2"/>
    <n v="3"/>
    <n v="4539"/>
    <n v="4905"/>
    <n v="1"/>
    <n v="12"/>
    <n v="3"/>
    <n v="1"/>
    <n v="80"/>
    <n v="1"/>
    <n v="10"/>
    <n v="2"/>
    <n v="10"/>
    <n v="7"/>
    <n v="0"/>
    <n v="1"/>
  </r>
  <r>
    <x v="1"/>
    <s v="Travel_Rarely"/>
    <x v="0"/>
    <s v="Current Employees"/>
    <x v="1"/>
    <x v="0"/>
    <s v="STAFF-1221"/>
    <n v="1221"/>
    <x v="1"/>
    <x v="2"/>
    <x v="2"/>
    <s v="No"/>
    <s v="Y"/>
    <n v="4"/>
    <n v="-2"/>
    <n v="0"/>
    <n v="36"/>
    <n v="0"/>
    <m/>
    <n v="0"/>
    <n v="1"/>
    <n v="917"/>
    <n v="6"/>
    <x v="2"/>
    <n v="1"/>
    <n v="3"/>
    <n v="60"/>
    <n v="1"/>
    <n v="1"/>
    <n v="1"/>
    <n v="2741"/>
    <n v="6865"/>
    <n v="1"/>
    <n v="14"/>
    <n v="3"/>
    <n v="3"/>
    <n v="80"/>
    <n v="1"/>
    <n v="7"/>
    <n v="3"/>
    <n v="7"/>
    <n v="7"/>
    <n v="1"/>
    <n v="7"/>
  </r>
  <r>
    <x v="1"/>
    <s v="Travel_Rarely"/>
    <x v="2"/>
    <s v="Current Employees"/>
    <x v="1"/>
    <x v="0"/>
    <s v="STAFF-1224"/>
    <n v="1224"/>
    <x v="1"/>
    <x v="2"/>
    <x v="2"/>
    <s v="No"/>
    <s v="Y"/>
    <n v="4"/>
    <n v="-2"/>
    <n v="0"/>
    <n v="30"/>
    <n v="0"/>
    <m/>
    <n v="0"/>
    <n v="1"/>
    <n v="853"/>
    <n v="7"/>
    <x v="2"/>
    <n v="1"/>
    <n v="3"/>
    <n v="49"/>
    <n v="3"/>
    <n v="2"/>
    <n v="1"/>
    <n v="3491"/>
    <n v="11309"/>
    <n v="1"/>
    <n v="13"/>
    <n v="3"/>
    <n v="1"/>
    <n v="80"/>
    <n v="3"/>
    <n v="10"/>
    <n v="2"/>
    <n v="10"/>
    <n v="7"/>
    <n v="8"/>
    <n v="9"/>
  </r>
  <r>
    <x v="1"/>
    <s v="Travel_Rarely"/>
    <x v="0"/>
    <s v="Current Employees"/>
    <x v="1"/>
    <x v="1"/>
    <s v="STAFF-1225"/>
    <n v="1225"/>
    <x v="1"/>
    <x v="1"/>
    <x v="0"/>
    <s v="No"/>
    <s v="Y"/>
    <n v="3"/>
    <n v="-2"/>
    <n v="0"/>
    <n v="44"/>
    <n v="0"/>
    <m/>
    <n v="0"/>
    <n v="1"/>
    <n v="200"/>
    <n v="29"/>
    <x v="2"/>
    <n v="1"/>
    <n v="4"/>
    <n v="32"/>
    <n v="3"/>
    <n v="2"/>
    <n v="4"/>
    <n v="4541"/>
    <n v="7744"/>
    <n v="1"/>
    <n v="25"/>
    <n v="4"/>
    <n v="2"/>
    <n v="80"/>
    <n v="0"/>
    <n v="20"/>
    <n v="3"/>
    <n v="20"/>
    <n v="11"/>
    <n v="13"/>
    <n v="17"/>
  </r>
  <r>
    <x v="1"/>
    <s v="Travel_Rarely"/>
    <x v="4"/>
    <s v="Current Employees"/>
    <x v="0"/>
    <x v="3"/>
    <s v="STAFF-1226"/>
    <n v="1226"/>
    <x v="1"/>
    <x v="6"/>
    <x v="0"/>
    <s v="No"/>
    <s v="Y"/>
    <n v="2"/>
    <n v="-2"/>
    <n v="0"/>
    <n v="20"/>
    <n v="0"/>
    <m/>
    <n v="0"/>
    <n v="1"/>
    <n v="654"/>
    <n v="21"/>
    <x v="3"/>
    <n v="1"/>
    <n v="3"/>
    <n v="43"/>
    <n v="4"/>
    <n v="1"/>
    <n v="2"/>
    <n v="2678"/>
    <n v="5050"/>
    <n v="1"/>
    <n v="17"/>
    <n v="3"/>
    <n v="4"/>
    <n v="80"/>
    <n v="0"/>
    <n v="2"/>
    <n v="3"/>
    <n v="2"/>
    <n v="1"/>
    <n v="2"/>
    <n v="2"/>
  </r>
  <r>
    <x v="1"/>
    <s v="Travel_Rarely"/>
    <x v="1"/>
    <s v="Current Employees"/>
    <x v="1"/>
    <x v="4"/>
    <s v="STAFF-1228"/>
    <n v="1228"/>
    <x v="1"/>
    <x v="3"/>
    <x v="2"/>
    <s v="No"/>
    <s v="Y"/>
    <n v="3"/>
    <n v="-2"/>
    <n v="0"/>
    <n v="46"/>
    <n v="0"/>
    <m/>
    <n v="0"/>
    <n v="1"/>
    <n v="150"/>
    <n v="2"/>
    <x v="2"/>
    <n v="1"/>
    <n v="4"/>
    <n v="60"/>
    <n v="3"/>
    <n v="2"/>
    <n v="4"/>
    <n v="7379"/>
    <n v="17433"/>
    <n v="2"/>
    <n v="11"/>
    <n v="3"/>
    <n v="3"/>
    <n v="80"/>
    <n v="1"/>
    <n v="12"/>
    <n v="2"/>
    <n v="6"/>
    <n v="3"/>
    <n v="1"/>
    <n v="4"/>
  </r>
  <r>
    <x v="1"/>
    <s v="Non-Travel"/>
    <x v="0"/>
    <s v="Current Employees"/>
    <x v="2"/>
    <x v="2"/>
    <s v="STAFF-1231"/>
    <n v="1231"/>
    <x v="1"/>
    <x v="8"/>
    <x v="1"/>
    <s v="No"/>
    <s v="Y"/>
    <n v="3"/>
    <n v="-2"/>
    <n v="0"/>
    <n v="42"/>
    <n v="0"/>
    <m/>
    <n v="0"/>
    <n v="1"/>
    <n v="179"/>
    <n v="2"/>
    <x v="4"/>
    <n v="1"/>
    <n v="4"/>
    <n v="79"/>
    <n v="4"/>
    <n v="2"/>
    <n v="3"/>
    <n v="6272"/>
    <n v="12858"/>
    <n v="7"/>
    <n v="16"/>
    <n v="3"/>
    <n v="1"/>
    <n v="80"/>
    <n v="1"/>
    <n v="10"/>
    <n v="4"/>
    <n v="4"/>
    <n v="3"/>
    <n v="0"/>
    <n v="3"/>
  </r>
  <r>
    <x v="1"/>
    <s v="Travel_Rarely"/>
    <x v="3"/>
    <s v="Current Employees"/>
    <x v="0"/>
    <x v="3"/>
    <s v="STAFF-1233"/>
    <n v="1233"/>
    <x v="1"/>
    <x v="0"/>
    <x v="2"/>
    <s v="Yes"/>
    <s v="Y"/>
    <n v="3"/>
    <n v="-2"/>
    <n v="0"/>
    <n v="60"/>
    <n v="0"/>
    <m/>
    <n v="0"/>
    <n v="1"/>
    <n v="696"/>
    <n v="7"/>
    <x v="2"/>
    <n v="1"/>
    <n v="2"/>
    <n v="52"/>
    <n v="4"/>
    <n v="2"/>
    <n v="2"/>
    <n v="5220"/>
    <n v="10893"/>
    <n v="0"/>
    <n v="18"/>
    <n v="3"/>
    <n v="2"/>
    <n v="80"/>
    <n v="1"/>
    <n v="12"/>
    <n v="3"/>
    <n v="11"/>
    <n v="7"/>
    <n v="1"/>
    <n v="9"/>
  </r>
  <r>
    <x v="1"/>
    <s v="Travel_Frequently"/>
    <x v="2"/>
    <s v="Current Employees"/>
    <x v="1"/>
    <x v="1"/>
    <s v="STAFF-1234"/>
    <n v="1234"/>
    <x v="0"/>
    <x v="2"/>
    <x v="1"/>
    <s v="No"/>
    <s v="Y"/>
    <n v="2"/>
    <n v="-2"/>
    <n v="0"/>
    <n v="32"/>
    <n v="0"/>
    <m/>
    <n v="0"/>
    <n v="1"/>
    <n v="116"/>
    <n v="13"/>
    <x v="3"/>
    <n v="1"/>
    <n v="3"/>
    <n v="77"/>
    <n v="2"/>
    <n v="1"/>
    <n v="2"/>
    <n v="2743"/>
    <n v="7331"/>
    <n v="1"/>
    <n v="20"/>
    <n v="4"/>
    <n v="3"/>
    <n v="80"/>
    <n v="1"/>
    <n v="2"/>
    <n v="3"/>
    <n v="2"/>
    <n v="2"/>
    <n v="2"/>
    <n v="2"/>
  </r>
  <r>
    <x v="1"/>
    <s v="Travel_Frequently"/>
    <x v="2"/>
    <s v="Current Employees"/>
    <x v="1"/>
    <x v="0"/>
    <s v="STAFF-1235"/>
    <n v="1235"/>
    <x v="0"/>
    <x v="1"/>
    <x v="0"/>
    <s v="Yes"/>
    <s v="Y"/>
    <n v="2"/>
    <n v="-2"/>
    <n v="0"/>
    <n v="32"/>
    <n v="0"/>
    <m/>
    <n v="0"/>
    <n v="1"/>
    <n v="1316"/>
    <n v="2"/>
    <x v="0"/>
    <n v="1"/>
    <n v="4"/>
    <n v="38"/>
    <n v="3"/>
    <n v="2"/>
    <n v="1"/>
    <n v="4998"/>
    <n v="2338"/>
    <n v="4"/>
    <n v="14"/>
    <n v="3"/>
    <n v="4"/>
    <n v="80"/>
    <n v="0"/>
    <n v="10"/>
    <n v="3"/>
    <n v="8"/>
    <n v="7"/>
    <n v="0"/>
    <n v="7"/>
  </r>
  <r>
    <x v="1"/>
    <s v="Travel_Rarely"/>
    <x v="0"/>
    <s v="Current Employees"/>
    <x v="1"/>
    <x v="4"/>
    <s v="STAFF-1237"/>
    <n v="1237"/>
    <x v="0"/>
    <x v="3"/>
    <x v="2"/>
    <s v="Yes"/>
    <s v="Y"/>
    <n v="2"/>
    <n v="-2"/>
    <n v="0"/>
    <n v="36"/>
    <n v="0"/>
    <m/>
    <n v="0"/>
    <n v="1"/>
    <n v="363"/>
    <n v="1"/>
    <x v="3"/>
    <n v="1"/>
    <n v="4"/>
    <n v="77"/>
    <n v="1"/>
    <n v="3"/>
    <n v="4"/>
    <n v="10252"/>
    <n v="4235"/>
    <n v="2"/>
    <n v="21"/>
    <n v="4"/>
    <n v="3"/>
    <n v="80"/>
    <n v="1"/>
    <n v="17"/>
    <n v="3"/>
    <n v="7"/>
    <n v="7"/>
    <n v="7"/>
    <n v="7"/>
  </r>
  <r>
    <x v="1"/>
    <s v="Travel_Rarely"/>
    <x v="2"/>
    <s v="Current Employees"/>
    <x v="1"/>
    <x v="2"/>
    <s v="STAFF-1238"/>
    <n v="1238"/>
    <x v="1"/>
    <x v="1"/>
    <x v="1"/>
    <s v="No"/>
    <s v="Y"/>
    <n v="5"/>
    <n v="-2"/>
    <n v="0"/>
    <n v="33"/>
    <n v="0"/>
    <m/>
    <n v="0"/>
    <n v="1"/>
    <n v="117"/>
    <n v="9"/>
    <x v="3"/>
    <n v="1"/>
    <n v="1"/>
    <n v="60"/>
    <n v="3"/>
    <n v="1"/>
    <n v="4"/>
    <n v="2781"/>
    <n v="6311"/>
    <n v="0"/>
    <n v="13"/>
    <n v="3"/>
    <n v="2"/>
    <n v="80"/>
    <n v="1"/>
    <n v="15"/>
    <n v="3"/>
    <n v="14"/>
    <n v="10"/>
    <n v="4"/>
    <n v="10"/>
  </r>
  <r>
    <x v="1"/>
    <s v="Travel_Rarely"/>
    <x v="0"/>
    <s v="Current Employees"/>
    <x v="0"/>
    <x v="4"/>
    <s v="STAFF-1239"/>
    <n v="1239"/>
    <x v="0"/>
    <x v="0"/>
    <x v="2"/>
    <s v="No"/>
    <s v="Y"/>
    <n v="2"/>
    <n v="-2"/>
    <n v="0"/>
    <n v="40"/>
    <n v="0"/>
    <m/>
    <n v="0"/>
    <n v="1"/>
    <n v="107"/>
    <n v="10"/>
    <x v="3"/>
    <n v="1"/>
    <n v="4"/>
    <n v="84"/>
    <n v="2"/>
    <n v="2"/>
    <n v="4"/>
    <n v="6852"/>
    <n v="11591"/>
    <n v="7"/>
    <n v="12"/>
    <n v="3"/>
    <n v="2"/>
    <n v="80"/>
    <n v="1"/>
    <n v="7"/>
    <n v="4"/>
    <n v="5"/>
    <n v="1"/>
    <n v="1"/>
    <n v="3"/>
  </r>
  <r>
    <x v="1"/>
    <s v="Travel_Rarely"/>
    <x v="2"/>
    <s v="Current Employees"/>
    <x v="0"/>
    <x v="0"/>
    <s v="STAFF-1240"/>
    <n v="1240"/>
    <x v="1"/>
    <x v="0"/>
    <x v="0"/>
    <s v="No"/>
    <s v="Y"/>
    <n v="4"/>
    <n v="-2"/>
    <n v="0"/>
    <n v="25"/>
    <n v="0"/>
    <m/>
    <n v="0"/>
    <n v="1"/>
    <n v="1356"/>
    <n v="10"/>
    <x v="2"/>
    <n v="1"/>
    <n v="3"/>
    <n v="57"/>
    <n v="3"/>
    <n v="2"/>
    <n v="1"/>
    <n v="4950"/>
    <n v="20623"/>
    <n v="0"/>
    <n v="14"/>
    <n v="3"/>
    <n v="2"/>
    <n v="80"/>
    <n v="0"/>
    <n v="5"/>
    <n v="3"/>
    <n v="4"/>
    <n v="3"/>
    <n v="1"/>
    <n v="1"/>
  </r>
  <r>
    <x v="1"/>
    <s v="Travel_Rarely"/>
    <x v="2"/>
    <s v="Current Employees"/>
    <x v="1"/>
    <x v="2"/>
    <s v="STAFF-1241"/>
    <n v="1241"/>
    <x v="1"/>
    <x v="1"/>
    <x v="1"/>
    <s v="Yes"/>
    <s v="Y"/>
    <n v="2"/>
    <n v="-2"/>
    <n v="0"/>
    <n v="30"/>
    <n v="0"/>
    <m/>
    <n v="0"/>
    <n v="1"/>
    <n v="1465"/>
    <n v="1"/>
    <x v="3"/>
    <n v="1"/>
    <n v="4"/>
    <n v="63"/>
    <n v="3"/>
    <n v="1"/>
    <n v="2"/>
    <n v="3579"/>
    <n v="9369"/>
    <n v="0"/>
    <n v="21"/>
    <n v="4"/>
    <n v="1"/>
    <n v="80"/>
    <n v="1"/>
    <n v="12"/>
    <n v="3"/>
    <n v="11"/>
    <n v="9"/>
    <n v="5"/>
    <n v="7"/>
  </r>
  <r>
    <x v="1"/>
    <s v="Travel_Frequently"/>
    <x v="0"/>
    <s v="Current Employees"/>
    <x v="1"/>
    <x v="2"/>
    <s v="STAFF-1242"/>
    <n v="1242"/>
    <x v="0"/>
    <x v="7"/>
    <x v="1"/>
    <s v="Yes"/>
    <s v="Y"/>
    <n v="6"/>
    <n v="-2"/>
    <n v="0"/>
    <n v="42"/>
    <n v="0"/>
    <m/>
    <n v="0"/>
    <n v="1"/>
    <n v="458"/>
    <n v="26"/>
    <x v="4"/>
    <n v="1"/>
    <n v="1"/>
    <n v="60"/>
    <n v="3"/>
    <n v="3"/>
    <n v="3"/>
    <n v="13191"/>
    <n v="23281"/>
    <n v="3"/>
    <n v="17"/>
    <n v="3"/>
    <n v="3"/>
    <n v="80"/>
    <n v="0"/>
    <n v="20"/>
    <n v="3"/>
    <n v="1"/>
    <n v="0"/>
    <n v="0"/>
    <n v="0"/>
  </r>
  <r>
    <x v="1"/>
    <s v="Non-Travel"/>
    <x v="0"/>
    <s v="Current Employees"/>
    <x v="0"/>
    <x v="3"/>
    <s v="STAFF-1243"/>
    <n v="1243"/>
    <x v="0"/>
    <x v="0"/>
    <x v="1"/>
    <s v="Yes"/>
    <s v="Y"/>
    <n v="6"/>
    <n v="-2"/>
    <n v="0"/>
    <n v="35"/>
    <n v="0"/>
    <m/>
    <n v="0"/>
    <n v="1"/>
    <n v="1212"/>
    <n v="8"/>
    <x v="0"/>
    <n v="1"/>
    <n v="3"/>
    <n v="78"/>
    <n v="2"/>
    <n v="3"/>
    <n v="2"/>
    <n v="10377"/>
    <n v="13755"/>
    <n v="4"/>
    <n v="11"/>
    <n v="3"/>
    <n v="2"/>
    <n v="80"/>
    <n v="1"/>
    <n v="16"/>
    <n v="2"/>
    <n v="13"/>
    <n v="2"/>
    <n v="4"/>
    <n v="12"/>
  </r>
  <r>
    <x v="1"/>
    <s v="Travel_Rarely"/>
    <x v="2"/>
    <s v="Current Employees"/>
    <x v="1"/>
    <x v="0"/>
    <s v="STAFF-1244"/>
    <n v="1244"/>
    <x v="1"/>
    <x v="1"/>
    <x v="1"/>
    <s v="Yes"/>
    <s v="Y"/>
    <n v="3"/>
    <n v="-2"/>
    <n v="0"/>
    <n v="27"/>
    <n v="0"/>
    <m/>
    <n v="0"/>
    <n v="1"/>
    <n v="1103"/>
    <n v="14"/>
    <x v="3"/>
    <n v="1"/>
    <n v="1"/>
    <n v="42"/>
    <n v="3"/>
    <n v="1"/>
    <n v="1"/>
    <n v="2235"/>
    <n v="14377"/>
    <n v="1"/>
    <n v="14"/>
    <n v="3"/>
    <n v="4"/>
    <n v="80"/>
    <n v="2"/>
    <n v="9"/>
    <n v="2"/>
    <n v="9"/>
    <n v="7"/>
    <n v="6"/>
    <n v="8"/>
  </r>
  <r>
    <x v="1"/>
    <s v="Travel_Frequently"/>
    <x v="1"/>
    <s v="Current Employees"/>
    <x v="1"/>
    <x v="0"/>
    <s v="STAFF-1245"/>
    <n v="1245"/>
    <x v="0"/>
    <x v="3"/>
    <x v="2"/>
    <s v="No"/>
    <s v="Y"/>
    <n v="2"/>
    <n v="-2"/>
    <n v="0"/>
    <n v="54"/>
    <n v="0"/>
    <m/>
    <n v="0"/>
    <n v="1"/>
    <n v="966"/>
    <n v="1"/>
    <x v="2"/>
    <n v="1"/>
    <n v="4"/>
    <n v="53"/>
    <n v="3"/>
    <n v="3"/>
    <n v="1"/>
    <n v="10502"/>
    <n v="9659"/>
    <n v="7"/>
    <n v="17"/>
    <n v="3"/>
    <n v="1"/>
    <n v="80"/>
    <n v="1"/>
    <n v="33"/>
    <n v="1"/>
    <n v="5"/>
    <n v="4"/>
    <n v="1"/>
    <n v="4"/>
  </r>
  <r>
    <x v="1"/>
    <s v="Travel_Rarely"/>
    <x v="0"/>
    <s v="Current Employees"/>
    <x v="1"/>
    <x v="0"/>
    <s v="STAFF-1246"/>
    <n v="1246"/>
    <x v="0"/>
    <x v="1"/>
    <x v="1"/>
    <s v="No"/>
    <s v="Y"/>
    <n v="5"/>
    <n v="-2"/>
    <n v="0"/>
    <n v="44"/>
    <n v="0"/>
    <m/>
    <n v="0"/>
    <n v="1"/>
    <n v="1117"/>
    <n v="2"/>
    <x v="1"/>
    <n v="1"/>
    <n v="1"/>
    <n v="72"/>
    <n v="4"/>
    <n v="1"/>
    <n v="1"/>
    <n v="2011"/>
    <n v="19982"/>
    <n v="1"/>
    <n v="13"/>
    <n v="3"/>
    <n v="4"/>
    <n v="80"/>
    <n v="1"/>
    <n v="10"/>
    <n v="3"/>
    <n v="10"/>
    <n v="5"/>
    <n v="7"/>
    <n v="7"/>
  </r>
  <r>
    <x v="0"/>
    <s v="Non-Travel"/>
    <x v="4"/>
    <s v="Ex-Employees"/>
    <x v="1"/>
    <x v="2"/>
    <s v="STAFF-1248"/>
    <n v="1248"/>
    <x v="0"/>
    <x v="1"/>
    <x v="0"/>
    <s v="Yes"/>
    <s v="Y"/>
    <n v="2"/>
    <n v="-2"/>
    <n v="0"/>
    <n v="19"/>
    <n v="1"/>
    <n v="1"/>
    <n v="1"/>
    <n v="0"/>
    <n v="504"/>
    <n v="10"/>
    <x v="3"/>
    <n v="1"/>
    <n v="1"/>
    <n v="96"/>
    <n v="2"/>
    <n v="1"/>
    <n v="2"/>
    <n v="1859"/>
    <n v="6148"/>
    <n v="1"/>
    <n v="25"/>
    <n v="4"/>
    <n v="2"/>
    <n v="80"/>
    <n v="0"/>
    <n v="1"/>
    <n v="4"/>
    <n v="1"/>
    <n v="1"/>
    <n v="0"/>
    <n v="0"/>
  </r>
  <r>
    <x v="1"/>
    <s v="Travel_Rarely"/>
    <x v="2"/>
    <s v="Current Employees"/>
    <x v="1"/>
    <x v="0"/>
    <s v="STAFF-1249"/>
    <n v="1249"/>
    <x v="0"/>
    <x v="1"/>
    <x v="2"/>
    <s v="No"/>
    <s v="Y"/>
    <n v="5"/>
    <n v="-2"/>
    <n v="0"/>
    <n v="29"/>
    <n v="0"/>
    <m/>
    <n v="0"/>
    <n v="1"/>
    <n v="1010"/>
    <n v="1"/>
    <x v="3"/>
    <n v="1"/>
    <n v="1"/>
    <n v="97"/>
    <n v="3"/>
    <n v="1"/>
    <n v="1"/>
    <n v="3760"/>
    <n v="5598"/>
    <n v="1"/>
    <n v="15"/>
    <n v="3"/>
    <n v="1"/>
    <n v="80"/>
    <n v="3"/>
    <n v="3"/>
    <n v="3"/>
    <n v="3"/>
    <n v="2"/>
    <n v="1"/>
    <n v="2"/>
  </r>
  <r>
    <x v="1"/>
    <s v="Travel_Rarely"/>
    <x v="1"/>
    <s v="Current Employees"/>
    <x v="1"/>
    <x v="0"/>
    <s v="STAFF-1250"/>
    <n v="1250"/>
    <x v="1"/>
    <x v="7"/>
    <x v="1"/>
    <s v="No"/>
    <s v="Y"/>
    <n v="2"/>
    <n v="-2"/>
    <n v="0"/>
    <n v="54"/>
    <n v="0"/>
    <m/>
    <n v="0"/>
    <n v="1"/>
    <n v="685"/>
    <n v="3"/>
    <x v="3"/>
    <n v="1"/>
    <n v="4"/>
    <n v="85"/>
    <n v="3"/>
    <n v="4"/>
    <n v="1"/>
    <n v="17779"/>
    <n v="23474"/>
    <n v="3"/>
    <n v="14"/>
    <n v="3"/>
    <n v="1"/>
    <n v="80"/>
    <n v="0"/>
    <n v="36"/>
    <n v="3"/>
    <n v="10"/>
    <n v="9"/>
    <n v="0"/>
    <n v="9"/>
  </r>
  <r>
    <x v="1"/>
    <s v="Travel_Rarely"/>
    <x v="2"/>
    <s v="Current Employees"/>
    <x v="1"/>
    <x v="2"/>
    <s v="STAFF-1251"/>
    <n v="1251"/>
    <x v="1"/>
    <x v="4"/>
    <x v="1"/>
    <s v="Yes"/>
    <s v="Y"/>
    <n v="2"/>
    <n v="-2"/>
    <n v="0"/>
    <n v="31"/>
    <n v="0"/>
    <m/>
    <n v="0"/>
    <n v="1"/>
    <n v="1332"/>
    <n v="11"/>
    <x v="0"/>
    <n v="1"/>
    <n v="3"/>
    <n v="80"/>
    <n v="3"/>
    <n v="2"/>
    <n v="3"/>
    <n v="6833"/>
    <n v="17089"/>
    <n v="1"/>
    <n v="12"/>
    <n v="3"/>
    <n v="4"/>
    <n v="80"/>
    <n v="0"/>
    <n v="6"/>
    <n v="2"/>
    <n v="6"/>
    <n v="5"/>
    <n v="0"/>
    <n v="1"/>
  </r>
  <r>
    <x v="1"/>
    <s v="Travel_Rarely"/>
    <x v="2"/>
    <s v="Current Employees"/>
    <x v="1"/>
    <x v="2"/>
    <s v="STAFF-1252"/>
    <n v="1252"/>
    <x v="0"/>
    <x v="4"/>
    <x v="0"/>
    <s v="No"/>
    <s v="Y"/>
    <n v="2"/>
    <n v="-2"/>
    <n v="0"/>
    <n v="31"/>
    <n v="0"/>
    <m/>
    <n v="0"/>
    <n v="1"/>
    <n v="1062"/>
    <n v="24"/>
    <x v="3"/>
    <n v="1"/>
    <n v="3"/>
    <n v="96"/>
    <n v="2"/>
    <n v="2"/>
    <n v="3"/>
    <n v="6812"/>
    <n v="17198"/>
    <n v="1"/>
    <n v="19"/>
    <n v="3"/>
    <n v="2"/>
    <n v="80"/>
    <n v="0"/>
    <n v="10"/>
    <n v="3"/>
    <n v="10"/>
    <n v="9"/>
    <n v="1"/>
    <n v="8"/>
  </r>
  <r>
    <x v="1"/>
    <s v="Travel_Rarely"/>
    <x v="3"/>
    <s v="Current Employees"/>
    <x v="0"/>
    <x v="0"/>
    <s v="STAFF-1254"/>
    <n v="1254"/>
    <x v="0"/>
    <x v="0"/>
    <x v="0"/>
    <s v="No"/>
    <s v="Y"/>
    <n v="2"/>
    <n v="-2"/>
    <n v="0"/>
    <n v="59"/>
    <n v="0"/>
    <m/>
    <n v="0"/>
    <n v="1"/>
    <n v="326"/>
    <n v="3"/>
    <x v="3"/>
    <n v="1"/>
    <n v="3"/>
    <n v="48"/>
    <n v="2"/>
    <n v="2"/>
    <n v="1"/>
    <n v="5171"/>
    <n v="16490"/>
    <n v="5"/>
    <n v="17"/>
    <n v="3"/>
    <n v="4"/>
    <n v="80"/>
    <n v="0"/>
    <n v="13"/>
    <n v="3"/>
    <n v="6"/>
    <n v="1"/>
    <n v="0"/>
    <n v="5"/>
  </r>
  <r>
    <x v="1"/>
    <s v="Travel_Rarely"/>
    <x v="0"/>
    <s v="Current Employees"/>
    <x v="1"/>
    <x v="0"/>
    <s v="STAFF-1255"/>
    <n v="1255"/>
    <x v="1"/>
    <x v="7"/>
    <x v="1"/>
    <s v="No"/>
    <s v="Y"/>
    <n v="2"/>
    <n v="-2"/>
    <n v="0"/>
    <n v="43"/>
    <n v="0"/>
    <m/>
    <n v="0"/>
    <n v="1"/>
    <n v="920"/>
    <n v="3"/>
    <x v="3"/>
    <n v="1"/>
    <n v="3"/>
    <n v="96"/>
    <n v="1"/>
    <n v="5"/>
    <n v="1"/>
    <n v="19740"/>
    <n v="18625"/>
    <n v="3"/>
    <n v="14"/>
    <n v="3"/>
    <n v="2"/>
    <n v="80"/>
    <n v="1"/>
    <n v="25"/>
    <n v="3"/>
    <n v="8"/>
    <n v="7"/>
    <n v="0"/>
    <n v="7"/>
  </r>
  <r>
    <x v="1"/>
    <s v="Travel_Rarely"/>
    <x v="1"/>
    <s v="Current Employees"/>
    <x v="1"/>
    <x v="2"/>
    <s v="STAFF-1256"/>
    <n v="1256"/>
    <x v="1"/>
    <x v="5"/>
    <x v="1"/>
    <s v="No"/>
    <s v="Y"/>
    <n v="2"/>
    <n v="-2"/>
    <n v="0"/>
    <n v="49"/>
    <n v="0"/>
    <m/>
    <n v="0"/>
    <n v="1"/>
    <n v="1098"/>
    <n v="4"/>
    <x v="0"/>
    <n v="1"/>
    <n v="1"/>
    <n v="85"/>
    <n v="2"/>
    <n v="5"/>
    <n v="3"/>
    <n v="18711"/>
    <n v="12124"/>
    <n v="2"/>
    <n v="13"/>
    <n v="3"/>
    <n v="3"/>
    <n v="80"/>
    <n v="1"/>
    <n v="23"/>
    <n v="4"/>
    <n v="1"/>
    <n v="0"/>
    <n v="0"/>
    <n v="0"/>
  </r>
  <r>
    <x v="1"/>
    <s v="Travel_Frequently"/>
    <x v="0"/>
    <s v="Current Employees"/>
    <x v="1"/>
    <x v="4"/>
    <s v="STAFF-1257"/>
    <n v="1257"/>
    <x v="1"/>
    <x v="1"/>
    <x v="1"/>
    <s v="No"/>
    <s v="Y"/>
    <n v="2"/>
    <n v="-2"/>
    <n v="0"/>
    <n v="36"/>
    <n v="0"/>
    <m/>
    <n v="0"/>
    <n v="1"/>
    <n v="469"/>
    <n v="3"/>
    <x v="3"/>
    <n v="1"/>
    <n v="4"/>
    <n v="46"/>
    <n v="3"/>
    <n v="1"/>
    <n v="4"/>
    <n v="3692"/>
    <n v="9256"/>
    <n v="1"/>
    <n v="12"/>
    <n v="3"/>
    <n v="3"/>
    <n v="80"/>
    <n v="0"/>
    <n v="12"/>
    <n v="2"/>
    <n v="11"/>
    <n v="10"/>
    <n v="0"/>
    <n v="7"/>
  </r>
  <r>
    <x v="1"/>
    <s v="Travel_Rarely"/>
    <x v="1"/>
    <s v="Current Employees"/>
    <x v="1"/>
    <x v="4"/>
    <s v="STAFF-1258"/>
    <n v="1258"/>
    <x v="1"/>
    <x v="2"/>
    <x v="0"/>
    <s v="No"/>
    <s v="Y"/>
    <n v="4"/>
    <n v="-2"/>
    <n v="0"/>
    <n v="48"/>
    <n v="0"/>
    <m/>
    <n v="0"/>
    <n v="1"/>
    <n v="969"/>
    <n v="2"/>
    <x v="0"/>
    <n v="1"/>
    <n v="4"/>
    <n v="76"/>
    <n v="4"/>
    <n v="1"/>
    <n v="4"/>
    <n v="2559"/>
    <n v="16620"/>
    <n v="5"/>
    <n v="11"/>
    <n v="3"/>
    <n v="3"/>
    <n v="80"/>
    <n v="0"/>
    <n v="7"/>
    <n v="2"/>
    <n v="1"/>
    <n v="0"/>
    <n v="0"/>
    <n v="0"/>
  </r>
  <r>
    <x v="1"/>
    <s v="Travel_Rarely"/>
    <x v="2"/>
    <s v="Current Employees"/>
    <x v="1"/>
    <x v="0"/>
    <s v="STAFF-1259"/>
    <n v="1259"/>
    <x v="1"/>
    <x v="1"/>
    <x v="2"/>
    <s v="No"/>
    <s v="Y"/>
    <n v="2"/>
    <n v="-2"/>
    <n v="0"/>
    <n v="27"/>
    <n v="0"/>
    <m/>
    <n v="0"/>
    <n v="1"/>
    <n v="1167"/>
    <n v="4"/>
    <x v="0"/>
    <n v="1"/>
    <n v="1"/>
    <n v="76"/>
    <n v="3"/>
    <n v="1"/>
    <n v="1"/>
    <n v="2517"/>
    <n v="3208"/>
    <n v="1"/>
    <n v="11"/>
    <n v="3"/>
    <n v="2"/>
    <n v="80"/>
    <n v="3"/>
    <n v="5"/>
    <n v="3"/>
    <n v="5"/>
    <n v="3"/>
    <n v="0"/>
    <n v="3"/>
  </r>
  <r>
    <x v="1"/>
    <s v="Travel_Rarely"/>
    <x v="2"/>
    <s v="Current Employees"/>
    <x v="1"/>
    <x v="0"/>
    <s v="STAFF-1260"/>
    <n v="1260"/>
    <x v="1"/>
    <x v="4"/>
    <x v="2"/>
    <s v="Yes"/>
    <s v="Y"/>
    <n v="2"/>
    <n v="-2"/>
    <n v="0"/>
    <n v="29"/>
    <n v="0"/>
    <m/>
    <n v="0"/>
    <n v="1"/>
    <n v="1329"/>
    <n v="7"/>
    <x v="3"/>
    <n v="1"/>
    <n v="3"/>
    <n v="82"/>
    <n v="3"/>
    <n v="2"/>
    <n v="1"/>
    <n v="6623"/>
    <n v="4204"/>
    <n v="1"/>
    <n v="11"/>
    <n v="3"/>
    <n v="2"/>
    <n v="80"/>
    <n v="2"/>
    <n v="6"/>
    <n v="3"/>
    <n v="6"/>
    <n v="0"/>
    <n v="1"/>
    <n v="0"/>
  </r>
  <r>
    <x v="1"/>
    <s v="Travel_Rarely"/>
    <x v="1"/>
    <s v="Current Employees"/>
    <x v="1"/>
    <x v="0"/>
    <s v="STAFF-1263"/>
    <n v="1263"/>
    <x v="1"/>
    <x v="7"/>
    <x v="0"/>
    <s v="No"/>
    <s v="Y"/>
    <n v="3"/>
    <n v="-2"/>
    <n v="0"/>
    <n v="48"/>
    <n v="0"/>
    <m/>
    <n v="0"/>
    <n v="1"/>
    <n v="715"/>
    <n v="1"/>
    <x v="3"/>
    <n v="1"/>
    <n v="4"/>
    <n v="76"/>
    <n v="2"/>
    <n v="5"/>
    <n v="1"/>
    <n v="18265"/>
    <n v="8733"/>
    <n v="6"/>
    <n v="12"/>
    <n v="3"/>
    <n v="3"/>
    <n v="80"/>
    <n v="0"/>
    <n v="25"/>
    <n v="4"/>
    <n v="1"/>
    <n v="0"/>
    <n v="0"/>
    <n v="0"/>
  </r>
  <r>
    <x v="1"/>
    <s v="Travel_Rarely"/>
    <x v="2"/>
    <s v="Current Employees"/>
    <x v="1"/>
    <x v="0"/>
    <s v="STAFF-1264"/>
    <n v="1264"/>
    <x v="0"/>
    <x v="7"/>
    <x v="2"/>
    <s v="No"/>
    <s v="Y"/>
    <n v="2"/>
    <n v="-2"/>
    <n v="0"/>
    <n v="29"/>
    <n v="0"/>
    <m/>
    <n v="0"/>
    <n v="1"/>
    <n v="694"/>
    <n v="1"/>
    <x v="3"/>
    <n v="1"/>
    <n v="4"/>
    <n v="87"/>
    <n v="2"/>
    <n v="4"/>
    <n v="1"/>
    <n v="16124"/>
    <n v="3423"/>
    <n v="3"/>
    <n v="14"/>
    <n v="3"/>
    <n v="2"/>
    <n v="80"/>
    <n v="2"/>
    <n v="9"/>
    <n v="2"/>
    <n v="7"/>
    <n v="7"/>
    <n v="1"/>
    <n v="7"/>
  </r>
  <r>
    <x v="1"/>
    <s v="Travel_Rarely"/>
    <x v="2"/>
    <s v="Current Employees"/>
    <x v="1"/>
    <x v="4"/>
    <s v="STAFF-1265"/>
    <n v="1265"/>
    <x v="0"/>
    <x v="1"/>
    <x v="1"/>
    <s v="No"/>
    <s v="Y"/>
    <n v="5"/>
    <n v="-2"/>
    <n v="0"/>
    <n v="34"/>
    <n v="0"/>
    <m/>
    <n v="0"/>
    <n v="1"/>
    <n v="1320"/>
    <n v="20"/>
    <x v="3"/>
    <n v="1"/>
    <n v="4"/>
    <n v="89"/>
    <n v="4"/>
    <n v="1"/>
    <n v="4"/>
    <n v="2585"/>
    <n v="21643"/>
    <n v="0"/>
    <n v="17"/>
    <n v="3"/>
    <n v="4"/>
    <n v="80"/>
    <n v="0"/>
    <n v="2"/>
    <n v="2"/>
    <n v="1"/>
    <n v="0"/>
    <n v="0"/>
    <n v="0"/>
  </r>
  <r>
    <x v="1"/>
    <s v="Travel_Rarely"/>
    <x v="0"/>
    <s v="Current Employees"/>
    <x v="0"/>
    <x v="3"/>
    <s v="STAFF-1267"/>
    <n v="1267"/>
    <x v="1"/>
    <x v="5"/>
    <x v="1"/>
    <s v="No"/>
    <s v="Y"/>
    <n v="5"/>
    <n v="-2"/>
    <n v="0"/>
    <n v="44"/>
    <n v="0"/>
    <m/>
    <n v="0"/>
    <n v="1"/>
    <n v="1099"/>
    <n v="5"/>
    <x v="3"/>
    <n v="1"/>
    <n v="2"/>
    <n v="88"/>
    <n v="3"/>
    <n v="5"/>
    <n v="2"/>
    <n v="18213"/>
    <n v="8751"/>
    <n v="7"/>
    <n v="11"/>
    <n v="3"/>
    <n v="3"/>
    <n v="80"/>
    <n v="1"/>
    <n v="26"/>
    <n v="3"/>
    <n v="22"/>
    <n v="9"/>
    <n v="3"/>
    <n v="10"/>
  </r>
  <r>
    <x v="1"/>
    <s v="Travel_Rarely"/>
    <x v="2"/>
    <s v="Current Employees"/>
    <x v="0"/>
    <x v="3"/>
    <s v="STAFF-1268"/>
    <n v="1268"/>
    <x v="1"/>
    <x v="0"/>
    <x v="2"/>
    <s v="Yes"/>
    <s v="Y"/>
    <n v="3"/>
    <n v="-2"/>
    <n v="0"/>
    <n v="33"/>
    <n v="0"/>
    <m/>
    <n v="0"/>
    <n v="1"/>
    <n v="536"/>
    <n v="10"/>
    <x v="4"/>
    <n v="1"/>
    <n v="4"/>
    <n v="82"/>
    <n v="4"/>
    <n v="3"/>
    <n v="2"/>
    <n v="8380"/>
    <n v="21708"/>
    <n v="0"/>
    <n v="14"/>
    <n v="3"/>
    <n v="4"/>
    <n v="80"/>
    <n v="2"/>
    <n v="10"/>
    <n v="3"/>
    <n v="9"/>
    <n v="8"/>
    <n v="0"/>
    <n v="8"/>
  </r>
  <r>
    <x v="1"/>
    <s v="Travel_Rarely"/>
    <x v="4"/>
    <s v="Current Employees"/>
    <x v="1"/>
    <x v="0"/>
    <s v="STAFF-1269"/>
    <n v="1269"/>
    <x v="0"/>
    <x v="1"/>
    <x v="0"/>
    <s v="Yes"/>
    <s v="Y"/>
    <n v="2"/>
    <n v="-2"/>
    <n v="0"/>
    <n v="19"/>
    <n v="0"/>
    <m/>
    <n v="0"/>
    <n v="1"/>
    <n v="265"/>
    <n v="25"/>
    <x v="3"/>
    <n v="1"/>
    <n v="2"/>
    <n v="57"/>
    <n v="4"/>
    <n v="1"/>
    <n v="1"/>
    <n v="2994"/>
    <n v="21221"/>
    <n v="1"/>
    <n v="12"/>
    <n v="3"/>
    <n v="4"/>
    <n v="80"/>
    <n v="0"/>
    <n v="1"/>
    <n v="3"/>
    <n v="1"/>
    <n v="0"/>
    <n v="0"/>
    <n v="1"/>
  </r>
  <r>
    <x v="1"/>
    <s v="Travel_Rarely"/>
    <x v="4"/>
    <s v="Current Employees"/>
    <x v="1"/>
    <x v="0"/>
    <s v="STAFF-1270"/>
    <n v="1270"/>
    <x v="1"/>
    <x v="1"/>
    <x v="1"/>
    <s v="No"/>
    <s v="Y"/>
    <n v="2"/>
    <n v="-2"/>
    <n v="0"/>
    <n v="23"/>
    <n v="0"/>
    <m/>
    <n v="0"/>
    <n v="1"/>
    <n v="373"/>
    <n v="1"/>
    <x v="0"/>
    <n v="1"/>
    <n v="4"/>
    <n v="47"/>
    <n v="3"/>
    <n v="1"/>
    <n v="1"/>
    <n v="1223"/>
    <n v="16901"/>
    <n v="1"/>
    <n v="22"/>
    <n v="4"/>
    <n v="4"/>
    <n v="80"/>
    <n v="1"/>
    <n v="1"/>
    <n v="3"/>
    <n v="1"/>
    <n v="0"/>
    <n v="0"/>
    <n v="1"/>
  </r>
  <r>
    <x v="0"/>
    <s v="Travel_Frequently"/>
    <x v="2"/>
    <s v="Ex-Employees"/>
    <x v="0"/>
    <x v="0"/>
    <s v="STAFF-1273"/>
    <n v="1273"/>
    <x v="1"/>
    <x v="6"/>
    <x v="0"/>
    <s v="Yes"/>
    <s v="Y"/>
    <n v="4"/>
    <n v="-2"/>
    <n v="0"/>
    <n v="25"/>
    <n v="1"/>
    <n v="1"/>
    <n v="1"/>
    <n v="0"/>
    <n v="599"/>
    <n v="24"/>
    <x v="1"/>
    <n v="1"/>
    <n v="3"/>
    <n v="73"/>
    <n v="1"/>
    <n v="1"/>
    <n v="1"/>
    <n v="1118"/>
    <n v="8040"/>
    <n v="1"/>
    <n v="14"/>
    <n v="3"/>
    <n v="4"/>
    <n v="80"/>
    <n v="0"/>
    <n v="1"/>
    <n v="3"/>
    <n v="1"/>
    <n v="0"/>
    <n v="1"/>
    <n v="0"/>
  </r>
  <r>
    <x v="1"/>
    <s v="Travel_Rarely"/>
    <x v="2"/>
    <s v="Current Employees"/>
    <x v="1"/>
    <x v="0"/>
    <s v="STAFF-1275"/>
    <n v="1275"/>
    <x v="1"/>
    <x v="1"/>
    <x v="0"/>
    <s v="Yes"/>
    <s v="Y"/>
    <n v="2"/>
    <n v="-2"/>
    <n v="0"/>
    <n v="26"/>
    <n v="0"/>
    <m/>
    <n v="0"/>
    <n v="1"/>
    <n v="583"/>
    <n v="4"/>
    <x v="0"/>
    <n v="1"/>
    <n v="3"/>
    <n v="53"/>
    <n v="3"/>
    <n v="1"/>
    <n v="1"/>
    <n v="2875"/>
    <n v="9973"/>
    <n v="1"/>
    <n v="20"/>
    <n v="4"/>
    <n v="2"/>
    <n v="80"/>
    <n v="0"/>
    <n v="8"/>
    <n v="2"/>
    <n v="8"/>
    <n v="5"/>
    <n v="2"/>
    <n v="2"/>
  </r>
  <r>
    <x v="0"/>
    <s v="Travel_Rarely"/>
    <x v="1"/>
    <s v="Ex-Employees"/>
    <x v="0"/>
    <x v="3"/>
    <s v="STAFF-1277"/>
    <n v="1277"/>
    <x v="0"/>
    <x v="5"/>
    <x v="0"/>
    <s v="Yes"/>
    <s v="Y"/>
    <n v="2"/>
    <n v="-2"/>
    <n v="0"/>
    <n v="45"/>
    <n v="1"/>
    <n v="1"/>
    <n v="1"/>
    <n v="0"/>
    <n v="1449"/>
    <n v="2"/>
    <x v="3"/>
    <n v="1"/>
    <n v="1"/>
    <n v="94"/>
    <n v="1"/>
    <n v="5"/>
    <n v="2"/>
    <n v="18824"/>
    <n v="2493"/>
    <n v="2"/>
    <n v="16"/>
    <n v="3"/>
    <n v="1"/>
    <n v="80"/>
    <n v="0"/>
    <n v="26"/>
    <n v="3"/>
    <n v="24"/>
    <n v="10"/>
    <n v="1"/>
    <n v="11"/>
  </r>
  <r>
    <x v="1"/>
    <s v="Non-Travel"/>
    <x v="3"/>
    <s v="Current Employees"/>
    <x v="1"/>
    <x v="2"/>
    <s v="STAFF-1278"/>
    <n v="1278"/>
    <x v="1"/>
    <x v="4"/>
    <x v="2"/>
    <s v="Yes"/>
    <s v="Y"/>
    <n v="3"/>
    <n v="-2"/>
    <n v="0"/>
    <n v="55"/>
    <n v="0"/>
    <m/>
    <n v="0"/>
    <n v="1"/>
    <n v="177"/>
    <n v="8"/>
    <x v="1"/>
    <n v="1"/>
    <n v="4"/>
    <n v="37"/>
    <n v="2"/>
    <n v="4"/>
    <n v="2"/>
    <n v="13577"/>
    <n v="25592"/>
    <n v="1"/>
    <n v="15"/>
    <n v="3"/>
    <n v="4"/>
    <n v="80"/>
    <n v="1"/>
    <n v="34"/>
    <n v="3"/>
    <n v="33"/>
    <n v="9"/>
    <n v="15"/>
    <n v="0"/>
  </r>
  <r>
    <x v="0"/>
    <s v="Travel_Frequently"/>
    <x v="4"/>
    <s v="Ex-Employees"/>
    <x v="1"/>
    <x v="0"/>
    <s v="STAFF-1279"/>
    <n v="1279"/>
    <x v="0"/>
    <x v="2"/>
    <x v="0"/>
    <s v="No"/>
    <s v="Y"/>
    <n v="2"/>
    <n v="-2"/>
    <n v="0"/>
    <n v="21"/>
    <n v="1"/>
    <n v="1"/>
    <n v="1"/>
    <n v="0"/>
    <n v="251"/>
    <n v="10"/>
    <x v="0"/>
    <n v="1"/>
    <n v="1"/>
    <n v="45"/>
    <n v="2"/>
    <n v="1"/>
    <n v="1"/>
    <n v="2625"/>
    <n v="25308"/>
    <n v="1"/>
    <n v="20"/>
    <n v="4"/>
    <n v="3"/>
    <n v="80"/>
    <n v="0"/>
    <n v="2"/>
    <n v="1"/>
    <n v="2"/>
    <n v="2"/>
    <n v="2"/>
    <n v="2"/>
  </r>
  <r>
    <x v="1"/>
    <s v="Travel_Rarely"/>
    <x v="1"/>
    <s v="Current Employees"/>
    <x v="0"/>
    <x v="3"/>
    <s v="STAFF-1280"/>
    <n v="1280"/>
    <x v="0"/>
    <x v="5"/>
    <x v="1"/>
    <s v="No"/>
    <s v="Y"/>
    <n v="2"/>
    <n v="-2"/>
    <n v="0"/>
    <n v="46"/>
    <n v="0"/>
    <m/>
    <n v="0"/>
    <n v="1"/>
    <n v="168"/>
    <n v="4"/>
    <x v="0"/>
    <n v="1"/>
    <n v="4"/>
    <n v="33"/>
    <n v="2"/>
    <n v="5"/>
    <n v="2"/>
    <n v="18789"/>
    <n v="9946"/>
    <n v="2"/>
    <n v="14"/>
    <n v="3"/>
    <n v="3"/>
    <n v="80"/>
    <n v="1"/>
    <n v="26"/>
    <n v="3"/>
    <n v="11"/>
    <n v="4"/>
    <n v="0"/>
    <n v="8"/>
  </r>
  <r>
    <x v="1"/>
    <s v="Travel_Rarely"/>
    <x v="2"/>
    <s v="Current Employees"/>
    <x v="0"/>
    <x v="3"/>
    <s v="STAFF-1281"/>
    <n v="1281"/>
    <x v="0"/>
    <x v="0"/>
    <x v="0"/>
    <s v="Yes"/>
    <s v="Y"/>
    <n v="3"/>
    <n v="-2"/>
    <n v="0"/>
    <n v="34"/>
    <n v="0"/>
    <m/>
    <n v="0"/>
    <n v="1"/>
    <n v="131"/>
    <n v="2"/>
    <x v="3"/>
    <n v="1"/>
    <n v="3"/>
    <n v="86"/>
    <n v="3"/>
    <n v="2"/>
    <n v="2"/>
    <n v="4538"/>
    <n v="6039"/>
    <n v="0"/>
    <n v="12"/>
    <n v="3"/>
    <n v="4"/>
    <n v="80"/>
    <n v="0"/>
    <n v="4"/>
    <n v="3"/>
    <n v="3"/>
    <n v="2"/>
    <n v="0"/>
    <n v="2"/>
  </r>
  <r>
    <x v="1"/>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x v="1"/>
    <s v="Travel_Rarely"/>
    <x v="3"/>
    <s v="Current Employees"/>
    <x v="1"/>
    <x v="2"/>
    <s v="STAFF-1283"/>
    <n v="1283"/>
    <x v="1"/>
    <x v="3"/>
    <x v="0"/>
    <s v="No"/>
    <s v="Y"/>
    <n v="6"/>
    <n v="-2"/>
    <n v="0"/>
    <n v="59"/>
    <n v="0"/>
    <m/>
    <n v="0"/>
    <n v="1"/>
    <n v="1429"/>
    <n v="18"/>
    <x v="2"/>
    <n v="1"/>
    <n v="4"/>
    <n v="67"/>
    <n v="3"/>
    <n v="3"/>
    <n v="4"/>
    <n v="10512"/>
    <n v="20002"/>
    <n v="6"/>
    <n v="12"/>
    <n v="3"/>
    <n v="4"/>
    <n v="80"/>
    <n v="0"/>
    <n v="25"/>
    <n v="2"/>
    <n v="9"/>
    <n v="7"/>
    <n v="5"/>
    <n v="4"/>
  </r>
  <r>
    <x v="1"/>
    <s v="Travel_Frequently"/>
    <x v="2"/>
    <s v="Current Employees"/>
    <x v="1"/>
    <x v="2"/>
    <s v="STAFF-1285"/>
    <n v="1285"/>
    <x v="0"/>
    <x v="2"/>
    <x v="2"/>
    <s v="No"/>
    <s v="Y"/>
    <n v="2"/>
    <n v="-2"/>
    <n v="0"/>
    <n v="34"/>
    <n v="0"/>
    <m/>
    <n v="0"/>
    <n v="1"/>
    <n v="135"/>
    <n v="19"/>
    <x v="3"/>
    <n v="1"/>
    <n v="3"/>
    <n v="46"/>
    <n v="3"/>
    <n v="2"/>
    <n v="2"/>
    <n v="4444"/>
    <n v="22534"/>
    <n v="4"/>
    <n v="13"/>
    <n v="3"/>
    <n v="3"/>
    <n v="80"/>
    <n v="2"/>
    <n v="15"/>
    <n v="4"/>
    <n v="11"/>
    <n v="8"/>
    <n v="5"/>
    <n v="10"/>
  </r>
  <r>
    <x v="1"/>
    <s v="Travel_Frequently"/>
    <x v="2"/>
    <s v="Current Employees"/>
    <x v="1"/>
    <x v="2"/>
    <s v="STAFF-1286"/>
    <n v="1286"/>
    <x v="1"/>
    <x v="2"/>
    <x v="0"/>
    <s v="Yes"/>
    <s v="Y"/>
    <n v="2"/>
    <n v="-2"/>
    <n v="0"/>
    <n v="28"/>
    <n v="0"/>
    <m/>
    <n v="0"/>
    <n v="1"/>
    <n v="791"/>
    <n v="1"/>
    <x v="2"/>
    <n v="1"/>
    <n v="4"/>
    <n v="44"/>
    <n v="3"/>
    <n v="1"/>
    <n v="3"/>
    <n v="2154"/>
    <n v="6842"/>
    <n v="0"/>
    <n v="11"/>
    <n v="3"/>
    <n v="3"/>
    <n v="80"/>
    <n v="0"/>
    <n v="5"/>
    <n v="2"/>
    <n v="4"/>
    <n v="2"/>
    <n v="0"/>
    <n v="2"/>
  </r>
  <r>
    <x v="1"/>
    <s v="Travel_Rarely"/>
    <x v="0"/>
    <s v="Current Employees"/>
    <x v="1"/>
    <x v="0"/>
    <s v="STAFF-1288"/>
    <n v="1288"/>
    <x v="1"/>
    <x v="5"/>
    <x v="2"/>
    <s v="No"/>
    <s v="Y"/>
    <n v="4"/>
    <n v="-2"/>
    <n v="0"/>
    <n v="44"/>
    <n v="0"/>
    <m/>
    <n v="0"/>
    <n v="1"/>
    <n v="1199"/>
    <n v="4"/>
    <x v="0"/>
    <n v="1"/>
    <n v="3"/>
    <n v="92"/>
    <n v="4"/>
    <n v="5"/>
    <n v="3"/>
    <n v="19190"/>
    <n v="17477"/>
    <n v="1"/>
    <n v="14"/>
    <n v="3"/>
    <n v="4"/>
    <n v="80"/>
    <n v="2"/>
    <n v="26"/>
    <n v="2"/>
    <n v="25"/>
    <n v="9"/>
    <n v="14"/>
    <n v="13"/>
  </r>
  <r>
    <x v="1"/>
    <s v="Travel_Frequently"/>
    <x v="2"/>
    <s v="Current Employees"/>
    <x v="2"/>
    <x v="0"/>
    <s v="STAFF-1289"/>
    <n v="1289"/>
    <x v="1"/>
    <x v="8"/>
    <x v="1"/>
    <s v="No"/>
    <s v="Y"/>
    <n v="5"/>
    <n v="-2"/>
    <n v="0"/>
    <n v="34"/>
    <n v="0"/>
    <m/>
    <n v="0"/>
    <n v="1"/>
    <n v="648"/>
    <n v="11"/>
    <x v="3"/>
    <n v="1"/>
    <n v="3"/>
    <n v="56"/>
    <n v="2"/>
    <n v="2"/>
    <n v="2"/>
    <n v="4490"/>
    <n v="21833"/>
    <n v="4"/>
    <n v="11"/>
    <n v="3"/>
    <n v="4"/>
    <n v="80"/>
    <n v="2"/>
    <n v="14"/>
    <n v="4"/>
    <n v="10"/>
    <n v="9"/>
    <n v="1"/>
    <n v="8"/>
  </r>
  <r>
    <x v="1"/>
    <s v="Travel_Rarely"/>
    <x v="0"/>
    <s v="Current Employees"/>
    <x v="1"/>
    <x v="0"/>
    <s v="STAFF-1291"/>
    <n v="1291"/>
    <x v="1"/>
    <x v="1"/>
    <x v="1"/>
    <s v="Yes"/>
    <s v="Y"/>
    <n v="3"/>
    <n v="-2"/>
    <n v="0"/>
    <n v="35"/>
    <n v="0"/>
    <m/>
    <n v="0"/>
    <n v="1"/>
    <n v="735"/>
    <n v="6"/>
    <x v="1"/>
    <n v="1"/>
    <n v="3"/>
    <n v="66"/>
    <n v="3"/>
    <n v="1"/>
    <n v="3"/>
    <n v="3506"/>
    <n v="6020"/>
    <n v="0"/>
    <n v="14"/>
    <n v="3"/>
    <n v="4"/>
    <n v="80"/>
    <n v="0"/>
    <n v="4"/>
    <n v="3"/>
    <n v="3"/>
    <n v="2"/>
    <n v="2"/>
    <n v="2"/>
  </r>
  <r>
    <x v="1"/>
    <s v="Travel_Rarely"/>
    <x v="0"/>
    <s v="Current Employees"/>
    <x v="1"/>
    <x v="2"/>
    <s v="STAFF-1292"/>
    <n v="1292"/>
    <x v="0"/>
    <x v="1"/>
    <x v="1"/>
    <s v="Yes"/>
    <s v="Y"/>
    <n v="2"/>
    <n v="-2"/>
    <n v="0"/>
    <n v="42"/>
    <n v="0"/>
    <m/>
    <n v="0"/>
    <n v="1"/>
    <n v="603"/>
    <n v="7"/>
    <x v="2"/>
    <n v="1"/>
    <n v="2"/>
    <n v="78"/>
    <n v="4"/>
    <n v="2"/>
    <n v="2"/>
    <n v="2372"/>
    <n v="5628"/>
    <n v="6"/>
    <n v="16"/>
    <n v="3"/>
    <n v="4"/>
    <n v="80"/>
    <n v="0"/>
    <n v="18"/>
    <n v="3"/>
    <n v="1"/>
    <n v="0"/>
    <n v="0"/>
    <n v="0"/>
  </r>
  <r>
    <x v="1"/>
    <s v="Travel_Rarely"/>
    <x v="0"/>
    <s v="Current Employees"/>
    <x v="0"/>
    <x v="3"/>
    <s v="STAFF-1293"/>
    <n v="1293"/>
    <x v="0"/>
    <x v="0"/>
    <x v="0"/>
    <s v="No"/>
    <s v="Y"/>
    <n v="3"/>
    <n v="-2"/>
    <n v="0"/>
    <n v="43"/>
    <n v="0"/>
    <m/>
    <n v="0"/>
    <n v="1"/>
    <n v="531"/>
    <n v="4"/>
    <x v="2"/>
    <n v="1"/>
    <n v="4"/>
    <n v="56"/>
    <n v="2"/>
    <n v="3"/>
    <n v="2"/>
    <n v="10231"/>
    <n v="20364"/>
    <n v="3"/>
    <n v="14"/>
    <n v="3"/>
    <n v="4"/>
    <n v="80"/>
    <n v="0"/>
    <n v="23"/>
    <n v="4"/>
    <n v="21"/>
    <n v="7"/>
    <n v="15"/>
    <n v="17"/>
  </r>
  <r>
    <x v="1"/>
    <s v="Travel_Rarely"/>
    <x v="0"/>
    <s v="Current Employees"/>
    <x v="1"/>
    <x v="0"/>
    <s v="STAFF-1294"/>
    <n v="1294"/>
    <x v="0"/>
    <x v="3"/>
    <x v="0"/>
    <s v="Yes"/>
    <s v="Y"/>
    <n v="2"/>
    <n v="-2"/>
    <n v="0"/>
    <n v="36"/>
    <n v="0"/>
    <m/>
    <n v="0"/>
    <n v="1"/>
    <n v="429"/>
    <n v="2"/>
    <x v="2"/>
    <n v="1"/>
    <n v="3"/>
    <n v="53"/>
    <n v="3"/>
    <n v="2"/>
    <n v="2"/>
    <n v="5410"/>
    <n v="2323"/>
    <n v="9"/>
    <n v="11"/>
    <n v="3"/>
    <n v="4"/>
    <n v="80"/>
    <n v="0"/>
    <n v="18"/>
    <n v="3"/>
    <n v="16"/>
    <n v="14"/>
    <n v="5"/>
    <n v="12"/>
  </r>
  <r>
    <x v="0"/>
    <s v="Travel_Rarely"/>
    <x v="0"/>
    <s v="Ex-Employees"/>
    <x v="1"/>
    <x v="2"/>
    <s v="STAFF-1295"/>
    <n v="1295"/>
    <x v="0"/>
    <x v="4"/>
    <x v="1"/>
    <s v="No"/>
    <s v="Y"/>
    <n v="2"/>
    <n v="-2"/>
    <n v="0"/>
    <n v="44"/>
    <n v="1"/>
    <n v="1"/>
    <n v="1"/>
    <n v="0"/>
    <n v="621"/>
    <n v="15"/>
    <x v="3"/>
    <n v="1"/>
    <n v="1"/>
    <n v="73"/>
    <n v="3"/>
    <n v="3"/>
    <n v="4"/>
    <n v="7978"/>
    <n v="14075"/>
    <n v="1"/>
    <n v="11"/>
    <n v="3"/>
    <n v="4"/>
    <n v="80"/>
    <n v="1"/>
    <n v="10"/>
    <n v="3"/>
    <n v="10"/>
    <n v="7"/>
    <n v="0"/>
    <n v="5"/>
  </r>
  <r>
    <x v="1"/>
    <s v="Travel_Frequently"/>
    <x v="2"/>
    <s v="Current Employees"/>
    <x v="1"/>
    <x v="0"/>
    <s v="STAFF-1296"/>
    <n v="1296"/>
    <x v="1"/>
    <x v="2"/>
    <x v="1"/>
    <s v="Yes"/>
    <s v="Y"/>
    <n v="2"/>
    <n v="-2"/>
    <n v="0"/>
    <n v="28"/>
    <n v="0"/>
    <m/>
    <n v="0"/>
    <n v="1"/>
    <n v="193"/>
    <n v="2"/>
    <x v="3"/>
    <n v="1"/>
    <n v="4"/>
    <n v="52"/>
    <n v="2"/>
    <n v="1"/>
    <n v="4"/>
    <n v="3867"/>
    <n v="14222"/>
    <n v="1"/>
    <n v="12"/>
    <n v="3"/>
    <n v="2"/>
    <n v="80"/>
    <n v="1"/>
    <n v="2"/>
    <n v="3"/>
    <n v="2"/>
    <n v="2"/>
    <n v="2"/>
    <n v="2"/>
  </r>
  <r>
    <x v="1"/>
    <s v="Travel_Frequently"/>
    <x v="1"/>
    <s v="Current Employees"/>
    <x v="1"/>
    <x v="2"/>
    <s v="STAFF-1297"/>
    <n v="1297"/>
    <x v="0"/>
    <x v="2"/>
    <x v="0"/>
    <s v="No"/>
    <s v="Y"/>
    <n v="6"/>
    <n v="-2"/>
    <n v="0"/>
    <n v="51"/>
    <n v="0"/>
    <m/>
    <n v="0"/>
    <n v="1"/>
    <n v="968"/>
    <n v="6"/>
    <x v="0"/>
    <n v="1"/>
    <n v="2"/>
    <n v="40"/>
    <n v="2"/>
    <n v="1"/>
    <n v="3"/>
    <n v="2838"/>
    <n v="4257"/>
    <n v="0"/>
    <n v="14"/>
    <n v="3"/>
    <n v="2"/>
    <n v="80"/>
    <n v="0"/>
    <n v="8"/>
    <n v="2"/>
    <n v="7"/>
    <n v="0"/>
    <n v="7"/>
    <n v="7"/>
  </r>
  <r>
    <x v="1"/>
    <s v="Non-Travel"/>
    <x v="2"/>
    <s v="Current Employees"/>
    <x v="1"/>
    <x v="2"/>
    <s v="STAFF-1298"/>
    <n v="1298"/>
    <x v="0"/>
    <x v="3"/>
    <x v="0"/>
    <s v="Yes"/>
    <s v="Y"/>
    <n v="3"/>
    <n v="-2"/>
    <n v="0"/>
    <n v="30"/>
    <n v="0"/>
    <m/>
    <n v="0"/>
    <n v="1"/>
    <n v="879"/>
    <n v="9"/>
    <x v="0"/>
    <n v="1"/>
    <n v="3"/>
    <n v="72"/>
    <n v="3"/>
    <n v="2"/>
    <n v="3"/>
    <n v="4695"/>
    <n v="12858"/>
    <n v="7"/>
    <n v="18"/>
    <n v="3"/>
    <n v="3"/>
    <n v="80"/>
    <n v="0"/>
    <n v="10"/>
    <n v="3"/>
    <n v="8"/>
    <n v="4"/>
    <n v="1"/>
    <n v="7"/>
  </r>
  <r>
    <x v="0"/>
    <s v="Travel_Rarely"/>
    <x v="2"/>
    <s v="Ex-Employees"/>
    <x v="1"/>
    <x v="4"/>
    <s v="STAFF-1299"/>
    <n v="1299"/>
    <x v="0"/>
    <x v="2"/>
    <x v="2"/>
    <s v="Yes"/>
    <s v="Y"/>
    <n v="2"/>
    <n v="-2"/>
    <n v="0"/>
    <n v="29"/>
    <n v="1"/>
    <n v="1"/>
    <n v="1"/>
    <n v="0"/>
    <n v="806"/>
    <n v="7"/>
    <x v="3"/>
    <n v="1"/>
    <n v="4"/>
    <n v="39"/>
    <n v="3"/>
    <n v="1"/>
    <n v="4"/>
    <n v="3339"/>
    <n v="17285"/>
    <n v="3"/>
    <n v="13"/>
    <n v="3"/>
    <n v="1"/>
    <n v="80"/>
    <n v="2"/>
    <n v="10"/>
    <n v="3"/>
    <n v="7"/>
    <n v="7"/>
    <n v="7"/>
    <n v="7"/>
  </r>
  <r>
    <x v="1"/>
    <s v="Travel_Rarely"/>
    <x v="2"/>
    <s v="Current Employees"/>
    <x v="1"/>
    <x v="4"/>
    <s v="STAFF-1301"/>
    <n v="1301"/>
    <x v="1"/>
    <x v="1"/>
    <x v="0"/>
    <s v="No"/>
    <s v="Y"/>
    <n v="2"/>
    <n v="-2"/>
    <n v="0"/>
    <n v="28"/>
    <n v="0"/>
    <m/>
    <n v="0"/>
    <n v="1"/>
    <n v="640"/>
    <n v="1"/>
    <x v="3"/>
    <n v="1"/>
    <n v="4"/>
    <n v="84"/>
    <n v="3"/>
    <n v="1"/>
    <n v="4"/>
    <n v="2080"/>
    <n v="4732"/>
    <n v="2"/>
    <n v="11"/>
    <n v="3"/>
    <n v="2"/>
    <n v="80"/>
    <n v="0"/>
    <n v="5"/>
    <n v="2"/>
    <n v="3"/>
    <n v="2"/>
    <n v="1"/>
    <n v="2"/>
  </r>
  <r>
    <x v="1"/>
    <s v="Travel_Rarely"/>
    <x v="2"/>
    <s v="Current Employees"/>
    <x v="1"/>
    <x v="2"/>
    <s v="STAFF-1303"/>
    <n v="1303"/>
    <x v="0"/>
    <x v="1"/>
    <x v="0"/>
    <s v="No"/>
    <s v="Y"/>
    <n v="3"/>
    <n v="-2"/>
    <n v="0"/>
    <n v="25"/>
    <n v="0"/>
    <m/>
    <n v="0"/>
    <n v="1"/>
    <n v="266"/>
    <n v="1"/>
    <x v="3"/>
    <n v="1"/>
    <n v="4"/>
    <n v="40"/>
    <n v="3"/>
    <n v="1"/>
    <n v="2"/>
    <n v="2096"/>
    <n v="18830"/>
    <n v="1"/>
    <n v="18"/>
    <n v="3"/>
    <n v="4"/>
    <n v="80"/>
    <n v="0"/>
    <n v="2"/>
    <n v="2"/>
    <n v="2"/>
    <n v="2"/>
    <n v="2"/>
    <n v="1"/>
  </r>
  <r>
    <x v="1"/>
    <s v="Travel_Rarely"/>
    <x v="2"/>
    <s v="Current Employees"/>
    <x v="0"/>
    <x v="2"/>
    <s v="STAFF-1304"/>
    <n v="1304"/>
    <x v="1"/>
    <x v="0"/>
    <x v="1"/>
    <s v="No"/>
    <s v="Y"/>
    <n v="4"/>
    <n v="-2"/>
    <n v="0"/>
    <n v="32"/>
    <n v="0"/>
    <m/>
    <n v="0"/>
    <n v="1"/>
    <n v="604"/>
    <n v="8"/>
    <x v="3"/>
    <n v="1"/>
    <n v="3"/>
    <n v="56"/>
    <n v="4"/>
    <n v="2"/>
    <n v="4"/>
    <n v="6209"/>
    <n v="11693"/>
    <n v="1"/>
    <n v="15"/>
    <n v="3"/>
    <n v="3"/>
    <n v="80"/>
    <n v="2"/>
    <n v="10"/>
    <n v="4"/>
    <n v="10"/>
    <n v="7"/>
    <n v="0"/>
    <n v="8"/>
  </r>
  <r>
    <x v="1"/>
    <s v="Travel_Frequently"/>
    <x v="1"/>
    <s v="Current Employees"/>
    <x v="1"/>
    <x v="2"/>
    <s v="STAFF-1306"/>
    <n v="1306"/>
    <x v="0"/>
    <x v="5"/>
    <x v="0"/>
    <s v="No"/>
    <s v="Y"/>
    <n v="4"/>
    <n v="-2"/>
    <n v="0"/>
    <n v="45"/>
    <n v="0"/>
    <m/>
    <n v="0"/>
    <n v="1"/>
    <n v="364"/>
    <n v="25"/>
    <x v="3"/>
    <n v="1"/>
    <n v="2"/>
    <n v="83"/>
    <n v="3"/>
    <n v="5"/>
    <n v="2"/>
    <n v="18061"/>
    <n v="13035"/>
    <n v="3"/>
    <n v="22"/>
    <n v="4"/>
    <n v="3"/>
    <n v="80"/>
    <n v="0"/>
    <n v="22"/>
    <n v="3"/>
    <n v="0"/>
    <n v="0"/>
    <n v="0"/>
    <n v="0"/>
  </r>
  <r>
    <x v="1"/>
    <s v="Travel_Rarely"/>
    <x v="0"/>
    <s v="Current Employees"/>
    <x v="1"/>
    <x v="2"/>
    <s v="STAFF-1307"/>
    <n v="1307"/>
    <x v="0"/>
    <x v="5"/>
    <x v="2"/>
    <s v="Yes"/>
    <s v="Y"/>
    <n v="4"/>
    <n v="-2"/>
    <n v="0"/>
    <n v="39"/>
    <n v="0"/>
    <m/>
    <n v="0"/>
    <n v="1"/>
    <n v="412"/>
    <n v="13"/>
    <x v="2"/>
    <n v="1"/>
    <n v="3"/>
    <n v="94"/>
    <n v="2"/>
    <n v="4"/>
    <n v="2"/>
    <n v="17123"/>
    <n v="17334"/>
    <n v="6"/>
    <n v="13"/>
    <n v="3"/>
    <n v="4"/>
    <n v="80"/>
    <n v="2"/>
    <n v="21"/>
    <n v="3"/>
    <n v="19"/>
    <n v="9"/>
    <n v="15"/>
    <n v="2"/>
  </r>
  <r>
    <x v="1"/>
    <s v="Travel_Rarely"/>
    <x v="3"/>
    <s v="Current Employees"/>
    <x v="1"/>
    <x v="0"/>
    <s v="STAFF-1308"/>
    <n v="1308"/>
    <x v="1"/>
    <x v="1"/>
    <x v="2"/>
    <s v="No"/>
    <s v="Y"/>
    <n v="3"/>
    <n v="-2"/>
    <n v="0"/>
    <n v="58"/>
    <n v="0"/>
    <m/>
    <n v="0"/>
    <n v="1"/>
    <n v="848"/>
    <n v="23"/>
    <x v="2"/>
    <n v="1"/>
    <n v="1"/>
    <n v="88"/>
    <n v="3"/>
    <n v="1"/>
    <n v="3"/>
    <n v="2372"/>
    <n v="26076"/>
    <n v="1"/>
    <n v="12"/>
    <n v="3"/>
    <n v="4"/>
    <n v="80"/>
    <n v="2"/>
    <n v="2"/>
    <n v="3"/>
    <n v="2"/>
    <n v="2"/>
    <n v="2"/>
    <n v="2"/>
  </r>
  <r>
    <x v="0"/>
    <s v="Travel_Rarely"/>
    <x v="2"/>
    <s v="Ex-Employees"/>
    <x v="1"/>
    <x v="0"/>
    <s v="STAFF-1309"/>
    <n v="1309"/>
    <x v="1"/>
    <x v="2"/>
    <x v="1"/>
    <s v="No"/>
    <s v="Y"/>
    <n v="3"/>
    <n v="-2"/>
    <n v="0"/>
    <n v="32"/>
    <n v="1"/>
    <n v="1"/>
    <n v="1"/>
    <n v="0"/>
    <n v="1089"/>
    <n v="7"/>
    <x v="0"/>
    <n v="1"/>
    <n v="4"/>
    <n v="79"/>
    <n v="3"/>
    <n v="2"/>
    <n v="3"/>
    <n v="4883"/>
    <n v="22845"/>
    <n v="1"/>
    <n v="18"/>
    <n v="3"/>
    <n v="1"/>
    <n v="80"/>
    <n v="1"/>
    <n v="10"/>
    <n v="3"/>
    <n v="10"/>
    <n v="4"/>
    <n v="1"/>
    <n v="1"/>
  </r>
  <r>
    <x v="0"/>
    <s v="Travel_Rarely"/>
    <x v="0"/>
    <s v="Ex-Employees"/>
    <x v="1"/>
    <x v="2"/>
    <s v="STAFF-1310"/>
    <n v="1310"/>
    <x v="1"/>
    <x v="1"/>
    <x v="0"/>
    <s v="No"/>
    <s v="Y"/>
    <n v="2"/>
    <n v="-2"/>
    <n v="0"/>
    <n v="39"/>
    <n v="1"/>
    <n v="1"/>
    <n v="1"/>
    <n v="0"/>
    <n v="360"/>
    <n v="23"/>
    <x v="3"/>
    <n v="1"/>
    <n v="3"/>
    <n v="93"/>
    <n v="3"/>
    <n v="1"/>
    <n v="3"/>
    <n v="3904"/>
    <n v="22154"/>
    <n v="0"/>
    <n v="13"/>
    <n v="3"/>
    <n v="1"/>
    <n v="80"/>
    <n v="0"/>
    <n v="6"/>
    <n v="3"/>
    <n v="5"/>
    <n v="2"/>
    <n v="0"/>
    <n v="3"/>
  </r>
  <r>
    <x v="1"/>
    <s v="Travel_Rarely"/>
    <x v="2"/>
    <s v="Current Employees"/>
    <x v="1"/>
    <x v="4"/>
    <s v="STAFF-1311"/>
    <n v="1311"/>
    <x v="0"/>
    <x v="2"/>
    <x v="1"/>
    <s v="No"/>
    <s v="Y"/>
    <n v="6"/>
    <n v="-2"/>
    <n v="0"/>
    <n v="30"/>
    <n v="0"/>
    <m/>
    <n v="0"/>
    <n v="1"/>
    <n v="1138"/>
    <n v="6"/>
    <x v="3"/>
    <n v="1"/>
    <n v="4"/>
    <n v="48"/>
    <n v="2"/>
    <n v="2"/>
    <n v="4"/>
    <n v="4627"/>
    <n v="23631"/>
    <n v="0"/>
    <n v="12"/>
    <n v="3"/>
    <n v="1"/>
    <n v="80"/>
    <n v="1"/>
    <n v="10"/>
    <n v="3"/>
    <n v="9"/>
    <n v="2"/>
    <n v="6"/>
    <n v="7"/>
  </r>
  <r>
    <x v="1"/>
    <s v="Travel_Rarely"/>
    <x v="0"/>
    <s v="Current Employees"/>
    <x v="1"/>
    <x v="4"/>
    <s v="STAFF-1312"/>
    <n v="1312"/>
    <x v="0"/>
    <x v="4"/>
    <x v="1"/>
    <s v="No"/>
    <s v="Y"/>
    <n v="0"/>
    <n v="-2"/>
    <n v="0"/>
    <n v="36"/>
    <n v="0"/>
    <m/>
    <n v="0"/>
    <n v="1"/>
    <n v="325"/>
    <n v="10"/>
    <x v="2"/>
    <n v="1"/>
    <n v="4"/>
    <n v="63"/>
    <n v="3"/>
    <n v="3"/>
    <n v="4"/>
    <n v="7094"/>
    <n v="5747"/>
    <n v="3"/>
    <n v="12"/>
    <n v="3"/>
    <n v="1"/>
    <n v="80"/>
    <n v="0"/>
    <n v="10"/>
    <n v="3"/>
    <n v="7"/>
    <n v="7"/>
    <n v="1"/>
    <n v="7"/>
  </r>
  <r>
    <x v="1"/>
    <s v="Travel_Rarely"/>
    <x v="1"/>
    <s v="Current Employees"/>
    <x v="2"/>
    <x v="0"/>
    <s v="STAFF-1314"/>
    <n v="1314"/>
    <x v="0"/>
    <x v="8"/>
    <x v="0"/>
    <s v="No"/>
    <s v="Y"/>
    <n v="3"/>
    <n v="-2"/>
    <n v="0"/>
    <n v="46"/>
    <n v="0"/>
    <m/>
    <n v="0"/>
    <n v="1"/>
    <n v="991"/>
    <n v="1"/>
    <x v="0"/>
    <n v="1"/>
    <n v="4"/>
    <n v="44"/>
    <n v="3"/>
    <n v="1"/>
    <n v="3"/>
    <n v="3423"/>
    <n v="22957"/>
    <n v="6"/>
    <n v="12"/>
    <n v="3"/>
    <n v="3"/>
    <n v="80"/>
    <n v="0"/>
    <n v="10"/>
    <n v="4"/>
    <n v="7"/>
    <n v="6"/>
    <n v="5"/>
    <n v="7"/>
  </r>
  <r>
    <x v="1"/>
    <s v="Non-Travel"/>
    <x v="2"/>
    <s v="Current Employees"/>
    <x v="1"/>
    <x v="0"/>
    <s v="STAFF-1315"/>
    <n v="1315"/>
    <x v="0"/>
    <x v="2"/>
    <x v="1"/>
    <s v="No"/>
    <s v="Y"/>
    <n v="6"/>
    <n v="-2"/>
    <n v="0"/>
    <n v="28"/>
    <n v="0"/>
    <m/>
    <n v="0"/>
    <n v="1"/>
    <n v="1476"/>
    <n v="1"/>
    <x v="3"/>
    <n v="1"/>
    <n v="3"/>
    <n v="55"/>
    <n v="1"/>
    <n v="2"/>
    <n v="4"/>
    <n v="6674"/>
    <n v="16392"/>
    <n v="0"/>
    <n v="11"/>
    <n v="3"/>
    <n v="1"/>
    <n v="80"/>
    <n v="3"/>
    <n v="10"/>
    <n v="3"/>
    <n v="9"/>
    <n v="8"/>
    <n v="7"/>
    <n v="5"/>
  </r>
  <r>
    <x v="1"/>
    <s v="Travel_Rarely"/>
    <x v="1"/>
    <s v="Current Employees"/>
    <x v="1"/>
    <x v="0"/>
    <s v="STAFF-1317"/>
    <n v="1317"/>
    <x v="0"/>
    <x v="7"/>
    <x v="1"/>
    <s v="Yes"/>
    <s v="Y"/>
    <n v="2"/>
    <n v="-2"/>
    <n v="0"/>
    <n v="50"/>
    <n v="0"/>
    <m/>
    <n v="0"/>
    <n v="1"/>
    <n v="1322"/>
    <n v="28"/>
    <x v="3"/>
    <n v="1"/>
    <n v="4"/>
    <n v="43"/>
    <n v="3"/>
    <n v="4"/>
    <n v="3"/>
    <n v="16880"/>
    <n v="22422"/>
    <n v="4"/>
    <n v="11"/>
    <n v="3"/>
    <n v="2"/>
    <n v="80"/>
    <n v="0"/>
    <n v="25"/>
    <n v="3"/>
    <n v="3"/>
    <n v="2"/>
    <n v="1"/>
    <n v="2"/>
  </r>
  <r>
    <x v="0"/>
    <s v="Travel_Rarely"/>
    <x v="0"/>
    <s v="Ex-Employees"/>
    <x v="0"/>
    <x v="3"/>
    <s v="STAFF-1318"/>
    <n v="1318"/>
    <x v="1"/>
    <x v="0"/>
    <x v="0"/>
    <s v="Yes"/>
    <s v="Y"/>
    <n v="2"/>
    <n v="-2"/>
    <n v="0"/>
    <n v="40"/>
    <n v="1"/>
    <n v="1"/>
    <n v="1"/>
    <n v="0"/>
    <n v="299"/>
    <n v="25"/>
    <x v="2"/>
    <n v="1"/>
    <n v="4"/>
    <n v="57"/>
    <n v="2"/>
    <n v="3"/>
    <n v="2"/>
    <n v="9094"/>
    <n v="17235"/>
    <n v="2"/>
    <n v="12"/>
    <n v="3"/>
    <n v="3"/>
    <n v="80"/>
    <n v="0"/>
    <n v="9"/>
    <n v="3"/>
    <n v="5"/>
    <n v="4"/>
    <n v="1"/>
    <n v="0"/>
  </r>
  <r>
    <x v="0"/>
    <s v="Travel_Rarely"/>
    <x v="1"/>
    <s v="Ex-Employees"/>
    <x v="0"/>
    <x v="0"/>
    <s v="STAFF-1319"/>
    <n v="1319"/>
    <x v="1"/>
    <x v="0"/>
    <x v="0"/>
    <s v="Yes"/>
    <s v="Y"/>
    <n v="2"/>
    <n v="-2"/>
    <n v="0"/>
    <n v="52"/>
    <n v="1"/>
    <n v="1"/>
    <n v="1"/>
    <n v="0"/>
    <n v="1030"/>
    <n v="5"/>
    <x v="3"/>
    <n v="1"/>
    <n v="2"/>
    <n v="64"/>
    <n v="3"/>
    <n v="3"/>
    <n v="2"/>
    <n v="8446"/>
    <n v="21534"/>
    <n v="9"/>
    <n v="19"/>
    <n v="3"/>
    <n v="3"/>
    <n v="80"/>
    <n v="0"/>
    <n v="10"/>
    <n v="2"/>
    <n v="8"/>
    <n v="7"/>
    <n v="7"/>
    <n v="7"/>
  </r>
  <r>
    <x v="1"/>
    <s v="Travel_Rarely"/>
    <x v="2"/>
    <s v="Current Employees"/>
    <x v="1"/>
    <x v="2"/>
    <s v="STAFF-1321"/>
    <n v="1321"/>
    <x v="0"/>
    <x v="5"/>
    <x v="1"/>
    <s v="Yes"/>
    <s v="Y"/>
    <n v="2"/>
    <n v="-2"/>
    <n v="0"/>
    <n v="30"/>
    <n v="0"/>
    <m/>
    <n v="0"/>
    <n v="1"/>
    <n v="634"/>
    <n v="17"/>
    <x v="2"/>
    <n v="1"/>
    <n v="2"/>
    <n v="95"/>
    <n v="3"/>
    <n v="3"/>
    <n v="3"/>
    <n v="11916"/>
    <n v="25927"/>
    <n v="1"/>
    <n v="23"/>
    <n v="4"/>
    <n v="4"/>
    <n v="80"/>
    <n v="2"/>
    <n v="9"/>
    <n v="3"/>
    <n v="9"/>
    <n v="1"/>
    <n v="0"/>
    <n v="8"/>
  </r>
  <r>
    <x v="1"/>
    <s v="Travel_Rarely"/>
    <x v="0"/>
    <s v="Current Employees"/>
    <x v="1"/>
    <x v="0"/>
    <s v="STAFF-1322"/>
    <n v="1322"/>
    <x v="1"/>
    <x v="3"/>
    <x v="0"/>
    <s v="No"/>
    <s v="Y"/>
    <n v="6"/>
    <n v="-2"/>
    <n v="0"/>
    <n v="39"/>
    <n v="0"/>
    <m/>
    <n v="0"/>
    <n v="1"/>
    <n v="524"/>
    <n v="18"/>
    <x v="0"/>
    <n v="1"/>
    <n v="1"/>
    <n v="32"/>
    <n v="3"/>
    <n v="2"/>
    <n v="3"/>
    <n v="4534"/>
    <n v="13352"/>
    <n v="0"/>
    <n v="11"/>
    <n v="3"/>
    <n v="1"/>
    <n v="80"/>
    <n v="0"/>
    <n v="9"/>
    <n v="3"/>
    <n v="8"/>
    <n v="7"/>
    <n v="1"/>
    <n v="7"/>
  </r>
  <r>
    <x v="1"/>
    <s v="Non-Travel"/>
    <x v="2"/>
    <s v="Current Employees"/>
    <x v="0"/>
    <x v="0"/>
    <s v="STAFF-1324"/>
    <n v="1324"/>
    <x v="0"/>
    <x v="0"/>
    <x v="2"/>
    <s v="Yes"/>
    <s v="Y"/>
    <n v="5"/>
    <n v="-2"/>
    <n v="0"/>
    <n v="31"/>
    <n v="0"/>
    <m/>
    <n v="0"/>
    <n v="1"/>
    <n v="587"/>
    <n v="2"/>
    <x v="2"/>
    <n v="1"/>
    <n v="4"/>
    <n v="57"/>
    <n v="3"/>
    <n v="3"/>
    <n v="3"/>
    <n v="9852"/>
    <n v="8935"/>
    <n v="1"/>
    <n v="19"/>
    <n v="3"/>
    <n v="1"/>
    <n v="80"/>
    <n v="1"/>
    <n v="10"/>
    <n v="2"/>
    <n v="10"/>
    <n v="8"/>
    <n v="9"/>
    <n v="6"/>
  </r>
  <r>
    <x v="1"/>
    <s v="Non-Travel"/>
    <x v="0"/>
    <s v="Current Employees"/>
    <x v="0"/>
    <x v="2"/>
    <s v="STAFF-1329"/>
    <n v="1329"/>
    <x v="1"/>
    <x v="0"/>
    <x v="0"/>
    <s v="No"/>
    <s v="Y"/>
    <n v="4"/>
    <n v="-2"/>
    <n v="0"/>
    <n v="41"/>
    <n v="0"/>
    <m/>
    <n v="0"/>
    <n v="1"/>
    <n v="256"/>
    <n v="10"/>
    <x v="0"/>
    <n v="1"/>
    <n v="3"/>
    <n v="40"/>
    <n v="1"/>
    <n v="2"/>
    <n v="2"/>
    <n v="6151"/>
    <n v="22074"/>
    <n v="1"/>
    <n v="13"/>
    <n v="3"/>
    <n v="1"/>
    <n v="80"/>
    <n v="0"/>
    <n v="19"/>
    <n v="3"/>
    <n v="19"/>
    <n v="2"/>
    <n v="11"/>
    <n v="9"/>
  </r>
  <r>
    <x v="0"/>
    <s v="Travel_Frequently"/>
    <x v="2"/>
    <s v="Ex-Employees"/>
    <x v="0"/>
    <x v="0"/>
    <s v="STAFF-1331"/>
    <n v="1331"/>
    <x v="0"/>
    <x v="6"/>
    <x v="0"/>
    <s v="Yes"/>
    <s v="Y"/>
    <n v="2"/>
    <n v="-2"/>
    <n v="0"/>
    <n v="31"/>
    <n v="1"/>
    <n v="1"/>
    <n v="1"/>
    <n v="0"/>
    <n v="1060"/>
    <n v="1"/>
    <x v="3"/>
    <n v="1"/>
    <n v="4"/>
    <n v="54"/>
    <n v="3"/>
    <n v="1"/>
    <n v="2"/>
    <n v="2302"/>
    <n v="8319"/>
    <n v="1"/>
    <n v="11"/>
    <n v="3"/>
    <n v="1"/>
    <n v="80"/>
    <n v="0"/>
    <n v="3"/>
    <n v="4"/>
    <n v="3"/>
    <n v="2"/>
    <n v="2"/>
    <n v="2"/>
  </r>
  <r>
    <x v="0"/>
    <s v="Travel_Rarely"/>
    <x v="0"/>
    <s v="Ex-Employees"/>
    <x v="1"/>
    <x v="0"/>
    <s v="STAFF-1333"/>
    <n v="1333"/>
    <x v="1"/>
    <x v="2"/>
    <x v="1"/>
    <s v="No"/>
    <s v="Y"/>
    <n v="4"/>
    <n v="-2"/>
    <n v="0"/>
    <n v="44"/>
    <n v="1"/>
    <n v="1"/>
    <n v="1"/>
    <n v="0"/>
    <n v="935"/>
    <n v="3"/>
    <x v="3"/>
    <n v="1"/>
    <n v="1"/>
    <n v="89"/>
    <n v="3"/>
    <n v="1"/>
    <n v="3"/>
    <n v="2362"/>
    <n v="14669"/>
    <n v="4"/>
    <n v="12"/>
    <n v="3"/>
    <n v="3"/>
    <n v="80"/>
    <n v="0"/>
    <n v="10"/>
    <n v="4"/>
    <n v="3"/>
    <n v="2"/>
    <n v="1"/>
    <n v="2"/>
  </r>
  <r>
    <x v="1"/>
    <s v="Non-Travel"/>
    <x v="0"/>
    <s v="Current Employees"/>
    <x v="1"/>
    <x v="0"/>
    <s v="STAFF-1334"/>
    <n v="1334"/>
    <x v="1"/>
    <x v="5"/>
    <x v="1"/>
    <s v="Yes"/>
    <s v="Y"/>
    <n v="3"/>
    <n v="-2"/>
    <n v="0"/>
    <n v="42"/>
    <n v="0"/>
    <m/>
    <n v="0"/>
    <n v="1"/>
    <n v="495"/>
    <n v="2"/>
    <x v="1"/>
    <n v="1"/>
    <n v="3"/>
    <n v="37"/>
    <n v="3"/>
    <n v="4"/>
    <n v="3"/>
    <n v="17861"/>
    <n v="26582"/>
    <n v="0"/>
    <n v="13"/>
    <n v="3"/>
    <n v="4"/>
    <n v="80"/>
    <n v="0"/>
    <n v="21"/>
    <n v="2"/>
    <n v="20"/>
    <n v="8"/>
    <n v="2"/>
    <n v="10"/>
  </r>
  <r>
    <x v="1"/>
    <s v="Travel_Rarely"/>
    <x v="3"/>
    <s v="Current Employees"/>
    <x v="1"/>
    <x v="2"/>
    <s v="STAFF-1336"/>
    <n v="1336"/>
    <x v="0"/>
    <x v="5"/>
    <x v="1"/>
    <s v="No"/>
    <s v="Y"/>
    <n v="5"/>
    <n v="-2"/>
    <n v="0"/>
    <n v="55"/>
    <n v="0"/>
    <m/>
    <n v="0"/>
    <n v="1"/>
    <n v="282"/>
    <n v="2"/>
    <x v="0"/>
    <n v="1"/>
    <n v="4"/>
    <n v="58"/>
    <n v="1"/>
    <n v="5"/>
    <n v="3"/>
    <n v="19187"/>
    <n v="6992"/>
    <n v="4"/>
    <n v="14"/>
    <n v="3"/>
    <n v="4"/>
    <n v="80"/>
    <n v="1"/>
    <n v="23"/>
    <n v="3"/>
    <n v="19"/>
    <n v="9"/>
    <n v="9"/>
    <n v="11"/>
  </r>
  <r>
    <x v="1"/>
    <s v="Travel_Rarely"/>
    <x v="3"/>
    <s v="Current Employees"/>
    <x v="2"/>
    <x v="0"/>
    <s v="STAFF-1338"/>
    <n v="1338"/>
    <x v="1"/>
    <x v="5"/>
    <x v="0"/>
    <s v="No"/>
    <s v="Y"/>
    <n v="4"/>
    <n v="-2"/>
    <n v="0"/>
    <n v="56"/>
    <n v="0"/>
    <m/>
    <n v="0"/>
    <n v="1"/>
    <n v="206"/>
    <n v="8"/>
    <x v="2"/>
    <n v="1"/>
    <n v="4"/>
    <n v="99"/>
    <n v="3"/>
    <n v="5"/>
    <n v="2"/>
    <n v="19717"/>
    <n v="4022"/>
    <n v="6"/>
    <n v="14"/>
    <n v="3"/>
    <n v="1"/>
    <n v="80"/>
    <n v="0"/>
    <n v="36"/>
    <n v="3"/>
    <n v="7"/>
    <n v="3"/>
    <n v="7"/>
    <n v="7"/>
  </r>
  <r>
    <x v="1"/>
    <s v="Non-Travel"/>
    <x v="0"/>
    <s v="Current Employees"/>
    <x v="1"/>
    <x v="0"/>
    <s v="STAFF-1340"/>
    <n v="1340"/>
    <x v="1"/>
    <x v="1"/>
    <x v="2"/>
    <s v="No"/>
    <s v="Y"/>
    <n v="0"/>
    <n v="-2"/>
    <n v="0"/>
    <n v="40"/>
    <n v="0"/>
    <m/>
    <n v="0"/>
    <n v="1"/>
    <n v="458"/>
    <n v="16"/>
    <x v="0"/>
    <n v="1"/>
    <n v="3"/>
    <n v="74"/>
    <n v="3"/>
    <n v="1"/>
    <n v="3"/>
    <n v="3544"/>
    <n v="8532"/>
    <n v="9"/>
    <n v="16"/>
    <n v="3"/>
    <n v="2"/>
    <n v="80"/>
    <n v="1"/>
    <n v="6"/>
    <n v="3"/>
    <n v="4"/>
    <n v="2"/>
    <n v="0"/>
    <n v="0"/>
  </r>
  <r>
    <x v="1"/>
    <s v="Travel_Rarely"/>
    <x v="2"/>
    <s v="Current Employees"/>
    <x v="1"/>
    <x v="0"/>
    <s v="STAFF-1344"/>
    <n v="1344"/>
    <x v="1"/>
    <x v="4"/>
    <x v="2"/>
    <s v="No"/>
    <s v="Y"/>
    <n v="0"/>
    <n v="-2"/>
    <n v="0"/>
    <n v="34"/>
    <n v="0"/>
    <m/>
    <n v="0"/>
    <n v="1"/>
    <n v="943"/>
    <n v="9"/>
    <x v="3"/>
    <n v="1"/>
    <n v="4"/>
    <n v="86"/>
    <n v="3"/>
    <n v="3"/>
    <n v="4"/>
    <n v="8500"/>
    <n v="5494"/>
    <n v="0"/>
    <n v="11"/>
    <n v="3"/>
    <n v="4"/>
    <n v="80"/>
    <n v="1"/>
    <n v="10"/>
    <n v="2"/>
    <n v="9"/>
    <n v="7"/>
    <n v="1"/>
    <n v="6"/>
  </r>
  <r>
    <x v="1"/>
    <s v="Travel_Rarely"/>
    <x v="0"/>
    <s v="Current Employees"/>
    <x v="1"/>
    <x v="0"/>
    <s v="STAFF-1346"/>
    <n v="1346"/>
    <x v="1"/>
    <x v="1"/>
    <x v="0"/>
    <s v="No"/>
    <s v="Y"/>
    <n v="4"/>
    <n v="-2"/>
    <n v="0"/>
    <n v="40"/>
    <n v="0"/>
    <m/>
    <n v="0"/>
    <n v="1"/>
    <n v="523"/>
    <n v="2"/>
    <x v="3"/>
    <n v="1"/>
    <n v="3"/>
    <n v="98"/>
    <n v="3"/>
    <n v="2"/>
    <n v="4"/>
    <n v="4661"/>
    <n v="22455"/>
    <n v="1"/>
    <n v="13"/>
    <n v="3"/>
    <n v="3"/>
    <n v="80"/>
    <n v="0"/>
    <n v="9"/>
    <n v="3"/>
    <n v="9"/>
    <n v="8"/>
    <n v="8"/>
    <n v="8"/>
  </r>
  <r>
    <x v="1"/>
    <s v="Travel_Frequently"/>
    <x v="0"/>
    <s v="Current Employees"/>
    <x v="0"/>
    <x v="3"/>
    <s v="STAFF-1349"/>
    <n v="1349"/>
    <x v="0"/>
    <x v="0"/>
    <x v="2"/>
    <s v="No"/>
    <s v="Y"/>
    <n v="2"/>
    <n v="-2"/>
    <n v="0"/>
    <n v="41"/>
    <n v="0"/>
    <m/>
    <n v="0"/>
    <n v="1"/>
    <n v="1018"/>
    <n v="1"/>
    <x v="3"/>
    <n v="1"/>
    <n v="3"/>
    <n v="66"/>
    <n v="3"/>
    <n v="2"/>
    <n v="2"/>
    <n v="4103"/>
    <n v="4297"/>
    <n v="0"/>
    <n v="17"/>
    <n v="3"/>
    <n v="4"/>
    <n v="80"/>
    <n v="1"/>
    <n v="10"/>
    <n v="3"/>
    <n v="9"/>
    <n v="3"/>
    <n v="1"/>
    <n v="7"/>
  </r>
  <r>
    <x v="1"/>
    <s v="Travel_Frequently"/>
    <x v="0"/>
    <s v="Current Employees"/>
    <x v="1"/>
    <x v="0"/>
    <s v="STAFF-1350"/>
    <n v="1350"/>
    <x v="1"/>
    <x v="1"/>
    <x v="0"/>
    <s v="Yes"/>
    <s v="Y"/>
    <n v="3"/>
    <n v="-2"/>
    <n v="0"/>
    <n v="35"/>
    <n v="0"/>
    <m/>
    <n v="0"/>
    <n v="1"/>
    <n v="482"/>
    <n v="4"/>
    <x v="2"/>
    <n v="1"/>
    <n v="3"/>
    <n v="87"/>
    <n v="3"/>
    <n v="2"/>
    <n v="3"/>
    <n v="4249"/>
    <n v="2690"/>
    <n v="1"/>
    <n v="11"/>
    <n v="3"/>
    <n v="2"/>
    <n v="80"/>
    <n v="0"/>
    <n v="9"/>
    <n v="3"/>
    <n v="9"/>
    <n v="6"/>
    <n v="1"/>
    <n v="1"/>
  </r>
  <r>
    <x v="1"/>
    <s v="Travel_Rarely"/>
    <x v="1"/>
    <s v="Current Employees"/>
    <x v="2"/>
    <x v="0"/>
    <s v="STAFF-1352"/>
    <n v="1352"/>
    <x v="1"/>
    <x v="5"/>
    <x v="2"/>
    <s v="Yes"/>
    <s v="Y"/>
    <n v="2"/>
    <n v="-2"/>
    <n v="0"/>
    <n v="51"/>
    <n v="0"/>
    <m/>
    <n v="0"/>
    <n v="1"/>
    <n v="770"/>
    <n v="5"/>
    <x v="3"/>
    <n v="1"/>
    <n v="3"/>
    <n v="84"/>
    <n v="3"/>
    <n v="4"/>
    <n v="2"/>
    <n v="14026"/>
    <n v="17588"/>
    <n v="1"/>
    <n v="11"/>
    <n v="3"/>
    <n v="2"/>
    <n v="80"/>
    <n v="1"/>
    <n v="33"/>
    <n v="3"/>
    <n v="33"/>
    <n v="9"/>
    <n v="0"/>
    <n v="10"/>
  </r>
  <r>
    <x v="1"/>
    <s v="Travel_Rarely"/>
    <x v="0"/>
    <s v="Current Employees"/>
    <x v="0"/>
    <x v="0"/>
    <s v="STAFF-1355"/>
    <n v="1355"/>
    <x v="0"/>
    <x v="0"/>
    <x v="2"/>
    <s v="No"/>
    <s v="Y"/>
    <n v="3"/>
    <n v="-2"/>
    <n v="0"/>
    <n v="38"/>
    <n v="0"/>
    <m/>
    <n v="0"/>
    <n v="1"/>
    <n v="1009"/>
    <n v="2"/>
    <x v="0"/>
    <n v="1"/>
    <n v="2"/>
    <n v="31"/>
    <n v="3"/>
    <n v="2"/>
    <n v="3"/>
    <n v="6893"/>
    <n v="19461"/>
    <n v="3"/>
    <n v="15"/>
    <n v="3"/>
    <n v="4"/>
    <n v="80"/>
    <n v="1"/>
    <n v="11"/>
    <n v="3"/>
    <n v="7"/>
    <n v="7"/>
    <n v="1"/>
    <n v="7"/>
  </r>
  <r>
    <x v="1"/>
    <s v="Travel_Rarely"/>
    <x v="2"/>
    <s v="Current Employees"/>
    <x v="0"/>
    <x v="2"/>
    <s v="STAFF-1356"/>
    <n v="1356"/>
    <x v="0"/>
    <x v="0"/>
    <x v="0"/>
    <s v="No"/>
    <s v="Y"/>
    <n v="6"/>
    <n v="-2"/>
    <n v="0"/>
    <n v="34"/>
    <n v="0"/>
    <m/>
    <n v="0"/>
    <n v="1"/>
    <n v="507"/>
    <n v="15"/>
    <x v="0"/>
    <n v="1"/>
    <n v="3"/>
    <n v="66"/>
    <n v="3"/>
    <n v="2"/>
    <n v="3"/>
    <n v="6125"/>
    <n v="23553"/>
    <n v="1"/>
    <n v="12"/>
    <n v="3"/>
    <n v="4"/>
    <n v="80"/>
    <n v="0"/>
    <n v="10"/>
    <n v="4"/>
    <n v="10"/>
    <n v="8"/>
    <n v="9"/>
    <n v="6"/>
  </r>
  <r>
    <x v="1"/>
    <s v="Travel_Rarely"/>
    <x v="2"/>
    <s v="Current Employees"/>
    <x v="1"/>
    <x v="2"/>
    <s v="STAFF-1358"/>
    <n v="1358"/>
    <x v="1"/>
    <x v="2"/>
    <x v="1"/>
    <s v="No"/>
    <s v="Y"/>
    <n v="6"/>
    <n v="-2"/>
    <n v="0"/>
    <n v="25"/>
    <n v="0"/>
    <m/>
    <n v="0"/>
    <n v="1"/>
    <n v="882"/>
    <n v="19"/>
    <x v="1"/>
    <n v="1"/>
    <n v="4"/>
    <n v="67"/>
    <n v="3"/>
    <n v="1"/>
    <n v="4"/>
    <n v="3669"/>
    <n v="9075"/>
    <n v="3"/>
    <n v="11"/>
    <n v="3"/>
    <n v="3"/>
    <n v="80"/>
    <n v="3"/>
    <n v="7"/>
    <n v="2"/>
    <n v="3"/>
    <n v="2"/>
    <n v="1"/>
    <n v="2"/>
  </r>
  <r>
    <x v="0"/>
    <s v="Travel_Rarely"/>
    <x v="3"/>
    <s v="Ex-Employees"/>
    <x v="1"/>
    <x v="2"/>
    <s v="STAFF-1360"/>
    <n v="1360"/>
    <x v="0"/>
    <x v="3"/>
    <x v="1"/>
    <s v="Yes"/>
    <s v="Y"/>
    <n v="0"/>
    <n v="-2"/>
    <n v="0"/>
    <n v="58"/>
    <n v="1"/>
    <n v="1"/>
    <n v="1"/>
    <n v="0"/>
    <n v="601"/>
    <n v="7"/>
    <x v="2"/>
    <n v="1"/>
    <n v="3"/>
    <n v="53"/>
    <n v="2"/>
    <n v="3"/>
    <n v="3"/>
    <n v="10008"/>
    <n v="12023"/>
    <n v="7"/>
    <n v="14"/>
    <n v="3"/>
    <n v="4"/>
    <n v="80"/>
    <n v="0"/>
    <n v="31"/>
    <n v="2"/>
    <n v="10"/>
    <n v="9"/>
    <n v="5"/>
    <n v="9"/>
  </r>
  <r>
    <x v="1"/>
    <s v="Travel_Rarely"/>
    <x v="0"/>
    <s v="Current Employees"/>
    <x v="1"/>
    <x v="0"/>
    <s v="STAFF-1361"/>
    <n v="1361"/>
    <x v="1"/>
    <x v="2"/>
    <x v="1"/>
    <s v="No"/>
    <s v="Y"/>
    <n v="3"/>
    <n v="-2"/>
    <n v="0"/>
    <n v="40"/>
    <n v="0"/>
    <m/>
    <n v="0"/>
    <n v="1"/>
    <n v="329"/>
    <n v="1"/>
    <x v="2"/>
    <n v="1"/>
    <n v="2"/>
    <n v="88"/>
    <n v="3"/>
    <n v="1"/>
    <n v="2"/>
    <n v="2387"/>
    <n v="6762"/>
    <n v="3"/>
    <n v="22"/>
    <n v="4"/>
    <n v="3"/>
    <n v="80"/>
    <n v="1"/>
    <n v="7"/>
    <n v="3"/>
    <n v="4"/>
    <n v="2"/>
    <n v="0"/>
    <n v="3"/>
  </r>
  <r>
    <x v="1"/>
    <s v="Travel_Frequently"/>
    <x v="0"/>
    <s v="Current Employees"/>
    <x v="0"/>
    <x v="3"/>
    <s v="STAFF-1362"/>
    <n v="1362"/>
    <x v="0"/>
    <x v="0"/>
    <x v="1"/>
    <s v="No"/>
    <s v="Y"/>
    <n v="2"/>
    <n v="-2"/>
    <n v="0"/>
    <n v="36"/>
    <n v="0"/>
    <m/>
    <n v="0"/>
    <n v="1"/>
    <n v="607"/>
    <n v="7"/>
    <x v="3"/>
    <n v="1"/>
    <n v="1"/>
    <n v="83"/>
    <n v="4"/>
    <n v="2"/>
    <n v="2"/>
    <n v="4639"/>
    <n v="2261"/>
    <n v="2"/>
    <n v="16"/>
    <n v="3"/>
    <n v="4"/>
    <n v="80"/>
    <n v="1"/>
    <n v="17"/>
    <n v="2"/>
    <n v="15"/>
    <n v="7"/>
    <n v="6"/>
    <n v="13"/>
  </r>
  <r>
    <x v="1"/>
    <s v="Travel_Rarely"/>
    <x v="1"/>
    <s v="Current Employees"/>
    <x v="1"/>
    <x v="0"/>
    <s v="STAFF-1363"/>
    <n v="1363"/>
    <x v="1"/>
    <x v="3"/>
    <x v="0"/>
    <s v="No"/>
    <s v="Y"/>
    <n v="2"/>
    <n v="-2"/>
    <n v="0"/>
    <n v="48"/>
    <n v="0"/>
    <m/>
    <n v="0"/>
    <n v="1"/>
    <n v="855"/>
    <n v="4"/>
    <x v="3"/>
    <n v="1"/>
    <n v="4"/>
    <n v="54"/>
    <n v="3"/>
    <n v="3"/>
    <n v="4"/>
    <n v="7898"/>
    <n v="18706"/>
    <n v="1"/>
    <n v="11"/>
    <n v="3"/>
    <n v="3"/>
    <n v="80"/>
    <n v="0"/>
    <n v="11"/>
    <n v="3"/>
    <n v="10"/>
    <n v="9"/>
    <n v="0"/>
    <n v="8"/>
  </r>
  <r>
    <x v="1"/>
    <s v="Travel_Rarely"/>
    <x v="2"/>
    <s v="Current Employees"/>
    <x v="0"/>
    <x v="2"/>
    <s v="STAFF-1364"/>
    <n v="1364"/>
    <x v="0"/>
    <x v="6"/>
    <x v="1"/>
    <s v="No"/>
    <s v="Y"/>
    <n v="4"/>
    <n v="-2"/>
    <n v="0"/>
    <n v="27"/>
    <n v="0"/>
    <m/>
    <n v="0"/>
    <n v="1"/>
    <n v="1291"/>
    <n v="11"/>
    <x v="3"/>
    <n v="1"/>
    <n v="3"/>
    <n v="98"/>
    <n v="4"/>
    <n v="1"/>
    <n v="4"/>
    <n v="2534"/>
    <n v="6527"/>
    <n v="8"/>
    <n v="14"/>
    <n v="3"/>
    <n v="2"/>
    <n v="80"/>
    <n v="1"/>
    <n v="5"/>
    <n v="3"/>
    <n v="1"/>
    <n v="0"/>
    <n v="0"/>
    <n v="0"/>
  </r>
  <r>
    <x v="1"/>
    <s v="Travel_Rarely"/>
    <x v="1"/>
    <s v="Current Employees"/>
    <x v="1"/>
    <x v="4"/>
    <s v="STAFF-1367"/>
    <n v="1367"/>
    <x v="0"/>
    <x v="3"/>
    <x v="0"/>
    <s v="No"/>
    <s v="Y"/>
    <n v="1"/>
    <n v="-2"/>
    <n v="0"/>
    <n v="51"/>
    <n v="0"/>
    <m/>
    <n v="0"/>
    <n v="1"/>
    <n v="1405"/>
    <n v="11"/>
    <x v="0"/>
    <n v="1"/>
    <n v="4"/>
    <n v="82"/>
    <n v="2"/>
    <n v="4"/>
    <n v="4"/>
    <n v="13142"/>
    <n v="24439"/>
    <n v="3"/>
    <n v="16"/>
    <n v="3"/>
    <n v="2"/>
    <n v="80"/>
    <n v="0"/>
    <n v="29"/>
    <n v="2"/>
    <n v="5"/>
    <n v="2"/>
    <n v="0"/>
    <n v="3"/>
  </r>
  <r>
    <x v="1"/>
    <s v="Non-Travel"/>
    <x v="4"/>
    <s v="Current Employees"/>
    <x v="1"/>
    <x v="0"/>
    <s v="STAFF-1368"/>
    <n v="1368"/>
    <x v="0"/>
    <x v="2"/>
    <x v="0"/>
    <s v="No"/>
    <s v="Y"/>
    <n v="5"/>
    <n v="-2"/>
    <n v="0"/>
    <n v="18"/>
    <n v="0"/>
    <m/>
    <n v="0"/>
    <n v="1"/>
    <n v="1124"/>
    <n v="1"/>
    <x v="3"/>
    <n v="1"/>
    <n v="4"/>
    <n v="97"/>
    <n v="3"/>
    <n v="1"/>
    <n v="4"/>
    <n v="1611"/>
    <n v="19305"/>
    <n v="1"/>
    <n v="15"/>
    <n v="3"/>
    <n v="3"/>
    <n v="80"/>
    <n v="0"/>
    <n v="0"/>
    <n v="4"/>
    <n v="0"/>
    <n v="0"/>
    <n v="0"/>
    <n v="0"/>
  </r>
  <r>
    <x v="1"/>
    <s v="Travel_Rarely"/>
    <x v="0"/>
    <s v="Current Employees"/>
    <x v="1"/>
    <x v="2"/>
    <s v="STAFF-1369"/>
    <n v="1369"/>
    <x v="0"/>
    <x v="2"/>
    <x v="1"/>
    <s v="No"/>
    <s v="Y"/>
    <n v="0"/>
    <n v="-2"/>
    <n v="0"/>
    <n v="35"/>
    <n v="0"/>
    <m/>
    <n v="0"/>
    <n v="1"/>
    <n v="817"/>
    <n v="1"/>
    <x v="3"/>
    <n v="1"/>
    <n v="4"/>
    <n v="60"/>
    <n v="2"/>
    <n v="2"/>
    <n v="4"/>
    <n v="5363"/>
    <n v="10846"/>
    <n v="0"/>
    <n v="12"/>
    <n v="3"/>
    <n v="2"/>
    <n v="80"/>
    <n v="1"/>
    <n v="10"/>
    <n v="3"/>
    <n v="9"/>
    <n v="7"/>
    <n v="0"/>
    <n v="0"/>
  </r>
  <r>
    <x v="1"/>
    <s v="Travel_Frequently"/>
    <x v="2"/>
    <s v="Current Employees"/>
    <x v="0"/>
    <x v="0"/>
    <s v="STAFF-1371"/>
    <n v="1371"/>
    <x v="1"/>
    <x v="0"/>
    <x v="0"/>
    <s v="No"/>
    <s v="Y"/>
    <n v="3"/>
    <n v="-2"/>
    <n v="0"/>
    <n v="27"/>
    <n v="0"/>
    <m/>
    <n v="0"/>
    <n v="1"/>
    <n v="793"/>
    <n v="2"/>
    <x v="1"/>
    <n v="1"/>
    <n v="4"/>
    <n v="43"/>
    <n v="1"/>
    <n v="2"/>
    <n v="4"/>
    <n v="5071"/>
    <n v="20392"/>
    <n v="3"/>
    <n v="20"/>
    <n v="4"/>
    <n v="2"/>
    <n v="80"/>
    <n v="0"/>
    <n v="8"/>
    <n v="3"/>
    <n v="6"/>
    <n v="2"/>
    <n v="0"/>
    <n v="0"/>
  </r>
  <r>
    <x v="0"/>
    <s v="Travel_Rarely"/>
    <x v="3"/>
    <s v="Ex-Employees"/>
    <x v="0"/>
    <x v="3"/>
    <s v="STAFF-1372"/>
    <n v="1372"/>
    <x v="1"/>
    <x v="0"/>
    <x v="0"/>
    <s v="Yes"/>
    <s v="Y"/>
    <n v="2"/>
    <n v="-2"/>
    <n v="0"/>
    <n v="55"/>
    <n v="1"/>
    <n v="1"/>
    <n v="1"/>
    <n v="0"/>
    <n v="267"/>
    <n v="13"/>
    <x v="2"/>
    <n v="1"/>
    <n v="1"/>
    <n v="85"/>
    <n v="4"/>
    <n v="4"/>
    <n v="2"/>
    <n v="13695"/>
    <n v="9277"/>
    <n v="6"/>
    <n v="17"/>
    <n v="3"/>
    <n v="3"/>
    <n v="80"/>
    <n v="0"/>
    <n v="24"/>
    <n v="2"/>
    <n v="19"/>
    <n v="7"/>
    <n v="3"/>
    <n v="8"/>
  </r>
  <r>
    <x v="1"/>
    <s v="Travel_Rarely"/>
    <x v="3"/>
    <s v="Current Employees"/>
    <x v="1"/>
    <x v="0"/>
    <s v="STAFF-1373"/>
    <n v="1373"/>
    <x v="1"/>
    <x v="3"/>
    <x v="1"/>
    <s v="Yes"/>
    <s v="Y"/>
    <n v="0"/>
    <n v="-2"/>
    <n v="0"/>
    <n v="56"/>
    <n v="0"/>
    <m/>
    <n v="0"/>
    <n v="1"/>
    <n v="1369"/>
    <n v="23"/>
    <x v="3"/>
    <n v="1"/>
    <n v="4"/>
    <n v="68"/>
    <n v="3"/>
    <n v="4"/>
    <n v="2"/>
    <n v="13402"/>
    <n v="18235"/>
    <n v="4"/>
    <n v="12"/>
    <n v="3"/>
    <n v="1"/>
    <n v="80"/>
    <n v="1"/>
    <n v="33"/>
    <n v="3"/>
    <n v="19"/>
    <n v="16"/>
    <n v="15"/>
    <n v="9"/>
  </r>
  <r>
    <x v="1"/>
    <s v="Non-Travel"/>
    <x v="2"/>
    <s v="Current Employees"/>
    <x v="1"/>
    <x v="4"/>
    <s v="STAFF-1374"/>
    <n v="1374"/>
    <x v="0"/>
    <x v="1"/>
    <x v="2"/>
    <s v="No"/>
    <s v="Y"/>
    <n v="2"/>
    <n v="-2"/>
    <n v="0"/>
    <n v="34"/>
    <n v="0"/>
    <m/>
    <n v="0"/>
    <n v="1"/>
    <n v="999"/>
    <n v="26"/>
    <x v="1"/>
    <n v="1"/>
    <n v="4"/>
    <n v="92"/>
    <n v="2"/>
    <n v="1"/>
    <n v="4"/>
    <n v="2029"/>
    <n v="15891"/>
    <n v="1"/>
    <n v="20"/>
    <n v="4"/>
    <n v="3"/>
    <n v="80"/>
    <n v="3"/>
    <n v="5"/>
    <n v="3"/>
    <n v="5"/>
    <n v="4"/>
    <n v="0"/>
    <n v="0"/>
  </r>
  <r>
    <x v="1"/>
    <s v="Travel_Rarely"/>
    <x v="0"/>
    <s v="Current Employees"/>
    <x v="1"/>
    <x v="2"/>
    <s v="STAFF-1375"/>
    <n v="1375"/>
    <x v="0"/>
    <x v="4"/>
    <x v="2"/>
    <s v="No"/>
    <s v="Y"/>
    <n v="0"/>
    <n v="-2"/>
    <n v="0"/>
    <n v="40"/>
    <n v="0"/>
    <m/>
    <n v="0"/>
    <n v="1"/>
    <n v="1202"/>
    <n v="2"/>
    <x v="1"/>
    <n v="1"/>
    <n v="2"/>
    <n v="89"/>
    <n v="4"/>
    <n v="2"/>
    <n v="3"/>
    <n v="6377"/>
    <n v="13888"/>
    <n v="5"/>
    <n v="20"/>
    <n v="4"/>
    <n v="2"/>
    <n v="80"/>
    <n v="3"/>
    <n v="15"/>
    <n v="3"/>
    <n v="12"/>
    <n v="11"/>
    <n v="11"/>
    <n v="8"/>
  </r>
  <r>
    <x v="1"/>
    <s v="Travel_Rarely"/>
    <x v="2"/>
    <s v="Current Employees"/>
    <x v="1"/>
    <x v="2"/>
    <s v="STAFF-1377"/>
    <n v="1377"/>
    <x v="1"/>
    <x v="2"/>
    <x v="1"/>
    <s v="No"/>
    <s v="Y"/>
    <n v="1"/>
    <n v="-2"/>
    <n v="0"/>
    <n v="34"/>
    <n v="0"/>
    <m/>
    <n v="0"/>
    <n v="1"/>
    <n v="285"/>
    <n v="29"/>
    <x v="3"/>
    <n v="1"/>
    <n v="2"/>
    <n v="86"/>
    <n v="3"/>
    <n v="2"/>
    <n v="3"/>
    <n v="5429"/>
    <n v="17491"/>
    <n v="4"/>
    <n v="13"/>
    <n v="3"/>
    <n v="1"/>
    <n v="80"/>
    <n v="2"/>
    <n v="10"/>
    <n v="3"/>
    <n v="8"/>
    <n v="7"/>
    <n v="7"/>
    <n v="7"/>
  </r>
  <r>
    <x v="0"/>
    <s v="Travel_Frequently"/>
    <x v="2"/>
    <s v="Ex-Employees"/>
    <x v="0"/>
    <x v="0"/>
    <s v="STAFF-1379"/>
    <n v="1379"/>
    <x v="0"/>
    <x v="6"/>
    <x v="0"/>
    <s v="No"/>
    <s v="Y"/>
    <n v="3"/>
    <n v="-2"/>
    <n v="0"/>
    <n v="31"/>
    <n v="1"/>
    <n v="1"/>
    <n v="1"/>
    <n v="0"/>
    <n v="703"/>
    <n v="2"/>
    <x v="3"/>
    <n v="1"/>
    <n v="3"/>
    <n v="90"/>
    <n v="2"/>
    <n v="1"/>
    <n v="4"/>
    <n v="2785"/>
    <n v="11882"/>
    <n v="7"/>
    <n v="14"/>
    <n v="3"/>
    <n v="3"/>
    <n v="80"/>
    <n v="0"/>
    <n v="3"/>
    <n v="4"/>
    <n v="1"/>
    <n v="0"/>
    <n v="0"/>
    <n v="0"/>
  </r>
  <r>
    <x v="0"/>
    <s v="Travel_Frequently"/>
    <x v="0"/>
    <s v="Ex-Employees"/>
    <x v="0"/>
    <x v="3"/>
    <s v="STAFF-1380"/>
    <n v="1380"/>
    <x v="0"/>
    <x v="0"/>
    <x v="1"/>
    <s v="Yes"/>
    <s v="Y"/>
    <n v="0"/>
    <n v="-2"/>
    <n v="0"/>
    <n v="35"/>
    <n v="1"/>
    <n v="1"/>
    <n v="1"/>
    <n v="0"/>
    <n v="662"/>
    <n v="18"/>
    <x v="2"/>
    <n v="1"/>
    <n v="4"/>
    <n v="67"/>
    <n v="3"/>
    <n v="2"/>
    <n v="2"/>
    <n v="4614"/>
    <n v="23288"/>
    <n v="0"/>
    <n v="18"/>
    <n v="3"/>
    <n v="3"/>
    <n v="80"/>
    <n v="1"/>
    <n v="5"/>
    <n v="2"/>
    <n v="4"/>
    <n v="2"/>
    <n v="3"/>
    <n v="2"/>
  </r>
  <r>
    <x v="1"/>
    <s v="Travel_Frequently"/>
    <x v="0"/>
    <s v="Current Employees"/>
    <x v="1"/>
    <x v="0"/>
    <s v="STAFF-1382"/>
    <n v="1382"/>
    <x v="1"/>
    <x v="1"/>
    <x v="2"/>
    <s v="No"/>
    <s v="Y"/>
    <n v="2"/>
    <n v="-2"/>
    <n v="0"/>
    <n v="38"/>
    <n v="0"/>
    <m/>
    <n v="0"/>
    <n v="1"/>
    <n v="693"/>
    <n v="7"/>
    <x v="3"/>
    <n v="1"/>
    <n v="4"/>
    <n v="57"/>
    <n v="4"/>
    <n v="1"/>
    <n v="3"/>
    <n v="2610"/>
    <n v="15748"/>
    <n v="1"/>
    <n v="11"/>
    <n v="3"/>
    <n v="4"/>
    <n v="80"/>
    <n v="3"/>
    <n v="4"/>
    <n v="3"/>
    <n v="4"/>
    <n v="2"/>
    <n v="0"/>
    <n v="3"/>
  </r>
  <r>
    <x v="1"/>
    <s v="Travel_Rarely"/>
    <x v="2"/>
    <s v="Current Employees"/>
    <x v="1"/>
    <x v="4"/>
    <s v="STAFF-1383"/>
    <n v="1383"/>
    <x v="0"/>
    <x v="4"/>
    <x v="0"/>
    <s v="No"/>
    <s v="Y"/>
    <n v="2"/>
    <n v="-2"/>
    <n v="0"/>
    <n v="34"/>
    <n v="0"/>
    <m/>
    <n v="0"/>
    <n v="1"/>
    <n v="404"/>
    <n v="2"/>
    <x v="2"/>
    <n v="1"/>
    <n v="4"/>
    <n v="98"/>
    <n v="3"/>
    <n v="2"/>
    <n v="4"/>
    <n v="6687"/>
    <n v="6163"/>
    <n v="1"/>
    <n v="11"/>
    <n v="3"/>
    <n v="4"/>
    <n v="80"/>
    <n v="0"/>
    <n v="14"/>
    <n v="4"/>
    <n v="14"/>
    <n v="11"/>
    <n v="4"/>
    <n v="11"/>
  </r>
  <r>
    <x v="1"/>
    <s v="Travel_Rarely"/>
    <x v="2"/>
    <s v="Current Employees"/>
    <x v="0"/>
    <x v="0"/>
    <s v="STAFF-1387"/>
    <n v="1387"/>
    <x v="1"/>
    <x v="0"/>
    <x v="1"/>
    <s v="No"/>
    <s v="Y"/>
    <n v="0"/>
    <n v="-2"/>
    <n v="0"/>
    <n v="28"/>
    <n v="0"/>
    <m/>
    <n v="0"/>
    <n v="1"/>
    <n v="736"/>
    <n v="26"/>
    <x v="3"/>
    <n v="1"/>
    <n v="3"/>
    <n v="48"/>
    <n v="2"/>
    <n v="2"/>
    <n v="3"/>
    <n v="4724"/>
    <n v="24232"/>
    <n v="1"/>
    <n v="11"/>
    <n v="3"/>
    <n v="3"/>
    <n v="80"/>
    <n v="1"/>
    <n v="5"/>
    <n v="3"/>
    <n v="5"/>
    <n v="3"/>
    <n v="0"/>
    <n v="4"/>
  </r>
  <r>
    <x v="0"/>
    <s v="Travel_Rarely"/>
    <x v="2"/>
    <s v="Ex-Employees"/>
    <x v="1"/>
    <x v="2"/>
    <s v="STAFF-1389"/>
    <n v="1389"/>
    <x v="1"/>
    <x v="3"/>
    <x v="1"/>
    <s v="Yes"/>
    <s v="Y"/>
    <n v="3"/>
    <n v="-2"/>
    <n v="0"/>
    <n v="31"/>
    <n v="1"/>
    <n v="1"/>
    <n v="1"/>
    <n v="0"/>
    <n v="330"/>
    <n v="22"/>
    <x v="2"/>
    <n v="1"/>
    <n v="4"/>
    <n v="98"/>
    <n v="3"/>
    <n v="2"/>
    <n v="3"/>
    <n v="6179"/>
    <n v="21057"/>
    <n v="1"/>
    <n v="15"/>
    <n v="3"/>
    <n v="4"/>
    <n v="80"/>
    <n v="2"/>
    <n v="10"/>
    <n v="2"/>
    <n v="10"/>
    <n v="2"/>
    <n v="6"/>
    <n v="7"/>
  </r>
  <r>
    <x v="1"/>
    <s v="Travel_Rarely"/>
    <x v="0"/>
    <s v="Current Employees"/>
    <x v="0"/>
    <x v="0"/>
    <s v="STAFF-1390"/>
    <n v="1390"/>
    <x v="1"/>
    <x v="0"/>
    <x v="1"/>
    <s v="Yes"/>
    <s v="Y"/>
    <n v="2"/>
    <n v="-2"/>
    <n v="0"/>
    <n v="39"/>
    <n v="0"/>
    <m/>
    <n v="0"/>
    <n v="1"/>
    <n v="1498"/>
    <n v="21"/>
    <x v="2"/>
    <n v="1"/>
    <n v="1"/>
    <n v="44"/>
    <n v="2"/>
    <n v="2"/>
    <n v="4"/>
    <n v="6120"/>
    <n v="3567"/>
    <n v="3"/>
    <n v="12"/>
    <n v="3"/>
    <n v="4"/>
    <n v="80"/>
    <n v="2"/>
    <n v="8"/>
    <n v="4"/>
    <n v="5"/>
    <n v="4"/>
    <n v="1"/>
    <n v="4"/>
  </r>
  <r>
    <x v="1"/>
    <s v="Travel_Frequently"/>
    <x v="1"/>
    <s v="Current Employees"/>
    <x v="0"/>
    <x v="3"/>
    <s v="STAFF-1391"/>
    <n v="1391"/>
    <x v="1"/>
    <x v="0"/>
    <x v="1"/>
    <s v="No"/>
    <s v="Y"/>
    <n v="5"/>
    <n v="-2"/>
    <n v="0"/>
    <n v="51"/>
    <n v="0"/>
    <m/>
    <n v="0"/>
    <n v="1"/>
    <n v="541"/>
    <n v="2"/>
    <x v="3"/>
    <n v="1"/>
    <n v="2"/>
    <n v="52"/>
    <n v="3"/>
    <n v="3"/>
    <n v="2"/>
    <n v="10596"/>
    <n v="15395"/>
    <n v="2"/>
    <n v="11"/>
    <n v="3"/>
    <n v="2"/>
    <n v="80"/>
    <n v="0"/>
    <n v="14"/>
    <n v="3"/>
    <n v="4"/>
    <n v="2"/>
    <n v="3"/>
    <n v="2"/>
  </r>
  <r>
    <x v="1"/>
    <s v="Travel_Frequently"/>
    <x v="0"/>
    <s v="Current Employees"/>
    <x v="1"/>
    <x v="0"/>
    <s v="STAFF-1392"/>
    <n v="1392"/>
    <x v="0"/>
    <x v="1"/>
    <x v="2"/>
    <s v="Yes"/>
    <s v="Y"/>
    <n v="4"/>
    <n v="-2"/>
    <n v="0"/>
    <n v="41"/>
    <n v="0"/>
    <m/>
    <n v="0"/>
    <n v="1"/>
    <n v="1200"/>
    <n v="22"/>
    <x v="3"/>
    <n v="1"/>
    <n v="4"/>
    <n v="75"/>
    <n v="3"/>
    <n v="2"/>
    <n v="4"/>
    <n v="5467"/>
    <n v="13953"/>
    <n v="3"/>
    <n v="14"/>
    <n v="3"/>
    <n v="1"/>
    <n v="80"/>
    <n v="2"/>
    <n v="12"/>
    <n v="2"/>
    <n v="6"/>
    <n v="2"/>
    <n v="3"/>
    <n v="3"/>
  </r>
  <r>
    <x v="1"/>
    <s v="Travel_Rarely"/>
    <x v="0"/>
    <s v="Current Employees"/>
    <x v="1"/>
    <x v="0"/>
    <s v="STAFF-1394"/>
    <n v="1394"/>
    <x v="1"/>
    <x v="1"/>
    <x v="1"/>
    <s v="Yes"/>
    <s v="Y"/>
    <n v="2"/>
    <n v="-2"/>
    <n v="0"/>
    <n v="37"/>
    <n v="0"/>
    <m/>
    <n v="0"/>
    <n v="1"/>
    <n v="1439"/>
    <n v="4"/>
    <x v="1"/>
    <n v="1"/>
    <n v="3"/>
    <n v="54"/>
    <n v="3"/>
    <n v="1"/>
    <n v="3"/>
    <n v="2996"/>
    <n v="5182"/>
    <n v="7"/>
    <n v="15"/>
    <n v="3"/>
    <n v="4"/>
    <n v="80"/>
    <n v="0"/>
    <n v="8"/>
    <n v="3"/>
    <n v="6"/>
    <n v="4"/>
    <n v="1"/>
    <n v="3"/>
  </r>
  <r>
    <x v="1"/>
    <s v="Travel_Frequently"/>
    <x v="2"/>
    <s v="Current Employees"/>
    <x v="0"/>
    <x v="0"/>
    <s v="STAFF-1395"/>
    <n v="1395"/>
    <x v="1"/>
    <x v="0"/>
    <x v="1"/>
    <s v="No"/>
    <s v="Y"/>
    <n v="2"/>
    <n v="-2"/>
    <n v="0"/>
    <n v="33"/>
    <n v="0"/>
    <m/>
    <n v="0"/>
    <n v="1"/>
    <n v="1111"/>
    <n v="5"/>
    <x v="1"/>
    <n v="1"/>
    <n v="2"/>
    <n v="61"/>
    <n v="3"/>
    <n v="2"/>
    <n v="4"/>
    <n v="9998"/>
    <n v="19293"/>
    <n v="6"/>
    <n v="13"/>
    <n v="3"/>
    <n v="1"/>
    <n v="80"/>
    <n v="0"/>
    <n v="8"/>
    <n v="4"/>
    <n v="5"/>
    <n v="4"/>
    <n v="1"/>
    <n v="2"/>
  </r>
  <r>
    <x v="1"/>
    <s v="Travel_Rarely"/>
    <x v="2"/>
    <s v="Current Employees"/>
    <x v="0"/>
    <x v="3"/>
    <s v="STAFF-1396"/>
    <n v="1396"/>
    <x v="1"/>
    <x v="0"/>
    <x v="1"/>
    <s v="Yes"/>
    <s v="Y"/>
    <n v="3"/>
    <n v="-2"/>
    <n v="0"/>
    <n v="32"/>
    <n v="0"/>
    <m/>
    <n v="0"/>
    <n v="1"/>
    <n v="499"/>
    <n v="2"/>
    <x v="1"/>
    <n v="1"/>
    <n v="3"/>
    <n v="36"/>
    <n v="3"/>
    <n v="2"/>
    <n v="2"/>
    <n v="4078"/>
    <n v="20497"/>
    <n v="0"/>
    <n v="13"/>
    <n v="3"/>
    <n v="1"/>
    <n v="80"/>
    <n v="3"/>
    <n v="4"/>
    <n v="2"/>
    <n v="3"/>
    <n v="2"/>
    <n v="1"/>
    <n v="2"/>
  </r>
  <r>
    <x v="1"/>
    <s v="Non-Travel"/>
    <x v="0"/>
    <s v="Current Employees"/>
    <x v="1"/>
    <x v="0"/>
    <s v="STAFF-1397"/>
    <n v="1397"/>
    <x v="1"/>
    <x v="4"/>
    <x v="1"/>
    <s v="No"/>
    <s v="Y"/>
    <n v="2"/>
    <n v="-2"/>
    <n v="0"/>
    <n v="39"/>
    <n v="0"/>
    <m/>
    <n v="0"/>
    <n v="1"/>
    <n v="1485"/>
    <n v="25"/>
    <x v="0"/>
    <n v="1"/>
    <n v="3"/>
    <n v="71"/>
    <n v="3"/>
    <n v="3"/>
    <n v="3"/>
    <n v="10920"/>
    <n v="3449"/>
    <n v="3"/>
    <n v="21"/>
    <n v="4"/>
    <n v="2"/>
    <n v="80"/>
    <n v="1"/>
    <n v="13"/>
    <n v="3"/>
    <n v="6"/>
    <n v="4"/>
    <n v="0"/>
    <n v="5"/>
  </r>
  <r>
    <x v="1"/>
    <s v="Travel_Rarely"/>
    <x v="2"/>
    <s v="Current Employees"/>
    <x v="0"/>
    <x v="0"/>
    <s v="STAFF-1399"/>
    <n v="1399"/>
    <x v="1"/>
    <x v="0"/>
    <x v="1"/>
    <s v="No"/>
    <s v="Y"/>
    <n v="3"/>
    <n v="-2"/>
    <n v="0"/>
    <n v="25"/>
    <n v="0"/>
    <m/>
    <n v="0"/>
    <n v="1"/>
    <n v="1372"/>
    <n v="18"/>
    <x v="1"/>
    <n v="1"/>
    <n v="1"/>
    <n v="93"/>
    <n v="4"/>
    <n v="2"/>
    <n v="3"/>
    <n v="6232"/>
    <n v="12477"/>
    <n v="2"/>
    <n v="11"/>
    <n v="3"/>
    <n v="2"/>
    <n v="80"/>
    <n v="0"/>
    <n v="6"/>
    <n v="2"/>
    <n v="3"/>
    <n v="2"/>
    <n v="1"/>
    <n v="2"/>
  </r>
  <r>
    <x v="1"/>
    <s v="Travel_Frequently"/>
    <x v="1"/>
    <s v="Current Employees"/>
    <x v="1"/>
    <x v="2"/>
    <s v="STAFF-1401"/>
    <n v="1401"/>
    <x v="0"/>
    <x v="3"/>
    <x v="1"/>
    <s v="Yes"/>
    <s v="Y"/>
    <n v="3"/>
    <n v="-2"/>
    <n v="0"/>
    <n v="52"/>
    <n v="0"/>
    <m/>
    <n v="0"/>
    <n v="1"/>
    <n v="322"/>
    <n v="28"/>
    <x v="0"/>
    <n v="1"/>
    <n v="4"/>
    <n v="59"/>
    <n v="4"/>
    <n v="4"/>
    <n v="3"/>
    <n v="13247"/>
    <n v="9731"/>
    <n v="2"/>
    <n v="11"/>
    <n v="3"/>
    <n v="2"/>
    <n v="80"/>
    <n v="1"/>
    <n v="24"/>
    <n v="2"/>
    <n v="5"/>
    <n v="3"/>
    <n v="0"/>
    <n v="2"/>
  </r>
  <r>
    <x v="1"/>
    <s v="Travel_Rarely"/>
    <x v="0"/>
    <s v="Current Employees"/>
    <x v="1"/>
    <x v="2"/>
    <s v="STAFF-1402"/>
    <n v="1402"/>
    <x v="0"/>
    <x v="1"/>
    <x v="0"/>
    <s v="Yes"/>
    <s v="Y"/>
    <n v="3"/>
    <n v="-2"/>
    <n v="0"/>
    <n v="43"/>
    <n v="0"/>
    <m/>
    <n v="0"/>
    <n v="1"/>
    <n v="930"/>
    <n v="6"/>
    <x v="3"/>
    <n v="1"/>
    <n v="1"/>
    <n v="73"/>
    <n v="2"/>
    <n v="2"/>
    <n v="3"/>
    <n v="4081"/>
    <n v="20003"/>
    <n v="1"/>
    <n v="14"/>
    <n v="3"/>
    <n v="1"/>
    <n v="80"/>
    <n v="0"/>
    <n v="20"/>
    <n v="1"/>
    <n v="20"/>
    <n v="7"/>
    <n v="1"/>
    <n v="8"/>
  </r>
  <r>
    <x v="1"/>
    <s v="Travel_Rarely"/>
    <x v="2"/>
    <s v="Current Employees"/>
    <x v="0"/>
    <x v="3"/>
    <s v="STAFF-1403"/>
    <n v="1403"/>
    <x v="0"/>
    <x v="0"/>
    <x v="1"/>
    <s v="Yes"/>
    <s v="Y"/>
    <n v="3"/>
    <n v="-2"/>
    <n v="0"/>
    <n v="27"/>
    <n v="0"/>
    <m/>
    <n v="0"/>
    <n v="1"/>
    <n v="205"/>
    <n v="10"/>
    <x v="3"/>
    <n v="1"/>
    <n v="4"/>
    <n v="98"/>
    <n v="2"/>
    <n v="2"/>
    <n v="2"/>
    <n v="5769"/>
    <n v="7100"/>
    <n v="1"/>
    <n v="11"/>
    <n v="3"/>
    <n v="4"/>
    <n v="80"/>
    <n v="0"/>
    <n v="6"/>
    <n v="3"/>
    <n v="6"/>
    <n v="2"/>
    <n v="4"/>
    <n v="4"/>
  </r>
  <r>
    <x v="0"/>
    <s v="Travel_Rarely"/>
    <x v="2"/>
    <s v="Ex-Employees"/>
    <x v="1"/>
    <x v="0"/>
    <s v="STAFF-1405"/>
    <n v="1405"/>
    <x v="0"/>
    <x v="1"/>
    <x v="0"/>
    <s v="Yes"/>
    <s v="Y"/>
    <n v="2"/>
    <n v="-2"/>
    <n v="0"/>
    <n v="27"/>
    <n v="1"/>
    <n v="1"/>
    <n v="1"/>
    <n v="0"/>
    <n v="135"/>
    <n v="17"/>
    <x v="2"/>
    <n v="1"/>
    <n v="4"/>
    <n v="51"/>
    <n v="3"/>
    <n v="1"/>
    <n v="3"/>
    <n v="2394"/>
    <n v="25681"/>
    <n v="1"/>
    <n v="13"/>
    <n v="3"/>
    <n v="4"/>
    <n v="80"/>
    <n v="0"/>
    <n v="8"/>
    <n v="3"/>
    <n v="8"/>
    <n v="2"/>
    <n v="7"/>
    <n v="7"/>
  </r>
  <r>
    <x v="1"/>
    <s v="Travel_Rarely"/>
    <x v="2"/>
    <s v="Current Employees"/>
    <x v="1"/>
    <x v="2"/>
    <s v="STAFF-1407"/>
    <n v="1407"/>
    <x v="1"/>
    <x v="1"/>
    <x v="0"/>
    <s v="No"/>
    <s v="Y"/>
    <n v="2"/>
    <n v="-2"/>
    <n v="0"/>
    <n v="26"/>
    <n v="0"/>
    <m/>
    <n v="0"/>
    <n v="1"/>
    <n v="683"/>
    <n v="2"/>
    <x v="1"/>
    <n v="1"/>
    <n v="1"/>
    <n v="36"/>
    <n v="2"/>
    <n v="1"/>
    <n v="4"/>
    <n v="3904"/>
    <n v="4050"/>
    <n v="0"/>
    <n v="12"/>
    <n v="3"/>
    <n v="4"/>
    <n v="80"/>
    <n v="0"/>
    <n v="5"/>
    <n v="3"/>
    <n v="4"/>
    <n v="3"/>
    <n v="1"/>
    <n v="1"/>
  </r>
  <r>
    <x v="1"/>
    <s v="Travel_Rarely"/>
    <x v="0"/>
    <s v="Current Employees"/>
    <x v="2"/>
    <x v="5"/>
    <s v="STAFF-1408"/>
    <n v="1408"/>
    <x v="0"/>
    <x v="5"/>
    <x v="1"/>
    <s v="No"/>
    <s v="Y"/>
    <n v="5"/>
    <n v="-2"/>
    <n v="0"/>
    <n v="42"/>
    <n v="0"/>
    <m/>
    <n v="0"/>
    <n v="1"/>
    <n v="1147"/>
    <n v="10"/>
    <x v="3"/>
    <n v="1"/>
    <n v="3"/>
    <n v="31"/>
    <n v="3"/>
    <n v="4"/>
    <n v="3"/>
    <n v="16799"/>
    <n v="16616"/>
    <n v="0"/>
    <n v="14"/>
    <n v="3"/>
    <n v="3"/>
    <n v="80"/>
    <n v="1"/>
    <n v="21"/>
    <n v="3"/>
    <n v="20"/>
    <n v="7"/>
    <n v="0"/>
    <n v="9"/>
  </r>
  <r>
    <x v="1"/>
    <s v="Non-Travel"/>
    <x v="2"/>
    <s v="Current Employees"/>
    <x v="1"/>
    <x v="2"/>
    <s v="STAFF-1955"/>
    <n v="1955"/>
    <x v="0"/>
    <x v="4"/>
    <x v="2"/>
    <s v="No"/>
    <s v="Y"/>
    <n v="6"/>
    <n v="-2"/>
    <n v="0"/>
    <n v="32"/>
    <n v="0"/>
    <m/>
    <n v="0"/>
    <n v="1"/>
    <n v="1146"/>
    <n v="15"/>
    <x v="2"/>
    <n v="1"/>
    <n v="3"/>
    <n v="34"/>
    <n v="3"/>
    <n v="2"/>
    <n v="4"/>
    <n v="6667"/>
    <n v="16542"/>
    <n v="5"/>
    <n v="18"/>
    <n v="3"/>
    <n v="2"/>
    <n v="80"/>
    <n v="1"/>
    <n v="9"/>
    <n v="3"/>
    <n v="5"/>
    <n v="1"/>
    <n v="1"/>
    <n v="2"/>
  </r>
  <r>
    <x v="1"/>
    <s v="Non-Travel"/>
    <x v="0"/>
    <s v="Current Employees"/>
    <x v="1"/>
    <x v="2"/>
    <s v="STAFF-1662"/>
    <n v="1662"/>
    <x v="0"/>
    <x v="3"/>
    <x v="1"/>
    <s v="No"/>
    <s v="Y"/>
    <n v="6"/>
    <n v="-2"/>
    <n v="0"/>
    <n v="36"/>
    <n v="0"/>
    <m/>
    <n v="0"/>
    <n v="1"/>
    <n v="894"/>
    <n v="1"/>
    <x v="2"/>
    <n v="1"/>
    <n v="4"/>
    <n v="33"/>
    <n v="2"/>
    <n v="2"/>
    <n v="3"/>
    <n v="4374"/>
    <n v="15411"/>
    <n v="0"/>
    <n v="15"/>
    <n v="3"/>
    <n v="3"/>
    <n v="80"/>
    <n v="0"/>
    <n v="4"/>
    <n v="3"/>
    <n v="3"/>
    <n v="2"/>
    <n v="1"/>
    <n v="2"/>
  </r>
  <r>
    <x v="1"/>
    <s v="Non-Travel"/>
    <x v="0"/>
    <s v="Current Employees"/>
    <x v="1"/>
    <x v="0"/>
    <s v="STAFF-1630"/>
    <n v="1630"/>
    <x v="0"/>
    <x v="4"/>
    <x v="1"/>
    <s v="No"/>
    <s v="Y"/>
    <n v="5"/>
    <n v="-2"/>
    <n v="0"/>
    <n v="35"/>
    <n v="0"/>
    <m/>
    <n v="0"/>
    <n v="1"/>
    <n v="208"/>
    <n v="8"/>
    <x v="2"/>
    <n v="1"/>
    <n v="3"/>
    <n v="52"/>
    <n v="3"/>
    <n v="2"/>
    <n v="3"/>
    <n v="4148"/>
    <n v="12250"/>
    <n v="1"/>
    <n v="12"/>
    <n v="3"/>
    <n v="4"/>
    <n v="80"/>
    <n v="1"/>
    <n v="15"/>
    <n v="3"/>
    <n v="14"/>
    <n v="11"/>
    <n v="2"/>
    <n v="9"/>
  </r>
  <r>
    <x v="1"/>
    <s v="Non-Travel"/>
    <x v="1"/>
    <s v="Current Employees"/>
    <x v="1"/>
    <x v="2"/>
    <s v="STAFF-2000"/>
    <n v="2000"/>
    <x v="0"/>
    <x v="7"/>
    <x v="1"/>
    <s v="No"/>
    <s v="Y"/>
    <n v="3"/>
    <n v="-2"/>
    <n v="0"/>
    <n v="47"/>
    <n v="0"/>
    <m/>
    <n v="0"/>
    <n v="1"/>
    <n v="1162"/>
    <n v="1"/>
    <x v="1"/>
    <n v="1"/>
    <n v="3"/>
    <n v="98"/>
    <n v="3"/>
    <n v="3"/>
    <n v="2"/>
    <n v="11957"/>
    <n v="17231"/>
    <n v="0"/>
    <n v="18"/>
    <n v="3"/>
    <n v="1"/>
    <n v="80"/>
    <n v="2"/>
    <n v="14"/>
    <n v="1"/>
    <n v="13"/>
    <n v="8"/>
    <n v="5"/>
    <n v="12"/>
  </r>
  <r>
    <x v="1"/>
    <s v="Non-Travel"/>
    <x v="4"/>
    <s v="Current Employees"/>
    <x v="1"/>
    <x v="2"/>
    <s v="STAFF-1839"/>
    <n v="1839"/>
    <x v="0"/>
    <x v="1"/>
    <x v="0"/>
    <s v="No"/>
    <s v="Y"/>
    <n v="4"/>
    <n v="-2"/>
    <n v="0"/>
    <n v="18"/>
    <n v="0"/>
    <m/>
    <n v="0"/>
    <n v="1"/>
    <n v="1431"/>
    <n v="14"/>
    <x v="3"/>
    <n v="1"/>
    <n v="2"/>
    <n v="33"/>
    <n v="3"/>
    <n v="1"/>
    <n v="3"/>
    <n v="1514"/>
    <n v="8018"/>
    <n v="1"/>
    <n v="16"/>
    <n v="3"/>
    <n v="3"/>
    <n v="80"/>
    <n v="0"/>
    <n v="0"/>
    <n v="1"/>
    <n v="0"/>
    <n v="0"/>
    <n v="0"/>
    <n v="0"/>
  </r>
  <r>
    <x v="1"/>
    <s v="Non-Travel"/>
    <x v="0"/>
    <s v="Current Employees"/>
    <x v="0"/>
    <x v="0"/>
    <s v="STAFF-1929"/>
    <n v="1929"/>
    <x v="0"/>
    <x v="0"/>
    <x v="1"/>
    <s v="No"/>
    <s v="Y"/>
    <n v="1"/>
    <n v="-2"/>
    <n v="0"/>
    <n v="39"/>
    <n v="0"/>
    <m/>
    <n v="0"/>
    <n v="1"/>
    <n v="1251"/>
    <n v="21"/>
    <x v="2"/>
    <n v="1"/>
    <n v="1"/>
    <n v="32"/>
    <n v="1"/>
    <n v="2"/>
    <n v="3"/>
    <n v="5736"/>
    <n v="3987"/>
    <n v="6"/>
    <n v="19"/>
    <n v="3"/>
    <n v="3"/>
    <n v="80"/>
    <n v="1"/>
    <n v="10"/>
    <n v="3"/>
    <n v="3"/>
    <n v="2"/>
    <n v="1"/>
    <n v="2"/>
  </r>
  <r>
    <x v="1"/>
    <s v="Non-Travel"/>
    <x v="4"/>
    <s v="Current Employees"/>
    <x v="0"/>
    <x v="0"/>
    <s v="STAFF-1495"/>
    <n v="1495"/>
    <x v="0"/>
    <x v="6"/>
    <x v="1"/>
    <s v="No"/>
    <s v="Y"/>
    <n v="2"/>
    <n v="-2"/>
    <n v="0"/>
    <n v="24"/>
    <n v="0"/>
    <m/>
    <n v="0"/>
    <n v="1"/>
    <n v="830"/>
    <n v="13"/>
    <x v="0"/>
    <n v="1"/>
    <n v="4"/>
    <n v="78"/>
    <n v="3"/>
    <n v="1"/>
    <n v="2"/>
    <n v="2033"/>
    <n v="7103"/>
    <n v="1"/>
    <n v="13"/>
    <n v="3"/>
    <n v="3"/>
    <n v="80"/>
    <n v="1"/>
    <n v="1"/>
    <n v="3"/>
    <n v="1"/>
    <n v="0"/>
    <n v="0"/>
    <n v="0"/>
  </r>
  <r>
    <x v="1"/>
    <s v="Non-Travel"/>
    <x v="2"/>
    <s v="Current Employees"/>
    <x v="0"/>
    <x v="3"/>
    <s v="STAFF-1756"/>
    <n v="1756"/>
    <x v="0"/>
    <x v="0"/>
    <x v="0"/>
    <s v="No"/>
    <s v="Y"/>
    <n v="2"/>
    <n v="-2"/>
    <n v="0"/>
    <n v="33"/>
    <n v="0"/>
    <m/>
    <n v="0"/>
    <n v="1"/>
    <n v="1283"/>
    <n v="2"/>
    <x v="3"/>
    <n v="1"/>
    <n v="4"/>
    <n v="62"/>
    <n v="3"/>
    <n v="2"/>
    <n v="2"/>
    <n v="5147"/>
    <n v="10697"/>
    <n v="8"/>
    <n v="15"/>
    <n v="3"/>
    <n v="4"/>
    <n v="80"/>
    <n v="0"/>
    <n v="13"/>
    <n v="2"/>
    <n v="11"/>
    <n v="7"/>
    <n v="1"/>
    <n v="7"/>
  </r>
  <r>
    <x v="1"/>
    <s v="Travel_Frequently"/>
    <x v="1"/>
    <s v="Current Employees"/>
    <x v="1"/>
    <x v="2"/>
    <s v="STAFF-1900"/>
    <n v="1900"/>
    <x v="0"/>
    <x v="5"/>
    <x v="2"/>
    <s v="No"/>
    <s v="Y"/>
    <n v="3"/>
    <n v="-2"/>
    <n v="0"/>
    <n v="48"/>
    <n v="0"/>
    <m/>
    <n v="0"/>
    <n v="1"/>
    <n v="117"/>
    <n v="22"/>
    <x v="3"/>
    <n v="1"/>
    <n v="4"/>
    <n v="58"/>
    <n v="3"/>
    <n v="4"/>
    <n v="4"/>
    <n v="17174"/>
    <n v="2437"/>
    <n v="3"/>
    <n v="11"/>
    <n v="3"/>
    <n v="2"/>
    <n v="80"/>
    <n v="1"/>
    <n v="24"/>
    <n v="3"/>
    <n v="22"/>
    <n v="17"/>
    <n v="4"/>
    <n v="7"/>
  </r>
  <r>
    <x v="1"/>
    <s v="Travel_Frequently"/>
    <x v="0"/>
    <s v="Current Employees"/>
    <x v="1"/>
    <x v="0"/>
    <s v="STAFF-2025"/>
    <n v="2025"/>
    <x v="0"/>
    <x v="3"/>
    <x v="2"/>
    <s v="No"/>
    <s v="Y"/>
    <n v="3"/>
    <n v="-2"/>
    <n v="0"/>
    <n v="36"/>
    <n v="0"/>
    <m/>
    <n v="0"/>
    <n v="1"/>
    <n v="688"/>
    <n v="4"/>
    <x v="0"/>
    <n v="1"/>
    <n v="4"/>
    <n v="97"/>
    <n v="3"/>
    <n v="2"/>
    <n v="2"/>
    <n v="5131"/>
    <n v="9192"/>
    <n v="7"/>
    <n v="13"/>
    <n v="3"/>
    <n v="2"/>
    <n v="80"/>
    <n v="3"/>
    <n v="18"/>
    <n v="3"/>
    <n v="4"/>
    <n v="2"/>
    <n v="0"/>
    <n v="2"/>
  </r>
  <r>
    <x v="1"/>
    <s v="Travel_Frequently"/>
    <x v="0"/>
    <s v="Current Employees"/>
    <x v="1"/>
    <x v="2"/>
    <s v="STAFF-1760"/>
    <n v="1760"/>
    <x v="0"/>
    <x v="2"/>
    <x v="1"/>
    <s v="No"/>
    <s v="Y"/>
    <n v="4"/>
    <n v="-2"/>
    <n v="0"/>
    <n v="38"/>
    <n v="0"/>
    <m/>
    <n v="0"/>
    <n v="1"/>
    <n v="594"/>
    <n v="2"/>
    <x v="0"/>
    <n v="1"/>
    <n v="3"/>
    <n v="75"/>
    <n v="2"/>
    <n v="1"/>
    <n v="2"/>
    <n v="2468"/>
    <n v="15963"/>
    <n v="4"/>
    <n v="14"/>
    <n v="3"/>
    <n v="2"/>
    <n v="80"/>
    <n v="1"/>
    <n v="9"/>
    <n v="2"/>
    <n v="6"/>
    <n v="1"/>
    <n v="0"/>
    <n v="5"/>
  </r>
  <r>
    <x v="1"/>
    <s v="Travel_Frequently"/>
    <x v="2"/>
    <s v="Current Employees"/>
    <x v="1"/>
    <x v="0"/>
    <s v="STAFF-1870"/>
    <n v="1870"/>
    <x v="0"/>
    <x v="1"/>
    <x v="1"/>
    <s v="No"/>
    <s v="Y"/>
    <n v="2"/>
    <n v="-2"/>
    <n v="0"/>
    <n v="27"/>
    <n v="0"/>
    <m/>
    <n v="0"/>
    <n v="1"/>
    <n v="1131"/>
    <n v="15"/>
    <x v="3"/>
    <n v="1"/>
    <n v="4"/>
    <n v="77"/>
    <n v="2"/>
    <n v="1"/>
    <n v="3"/>
    <n v="4774"/>
    <n v="23844"/>
    <n v="0"/>
    <n v="19"/>
    <n v="3"/>
    <n v="4"/>
    <n v="80"/>
    <n v="1"/>
    <n v="8"/>
    <n v="2"/>
    <n v="7"/>
    <n v="6"/>
    <n v="7"/>
    <n v="3"/>
  </r>
  <r>
    <x v="1"/>
    <s v="Travel_Frequently"/>
    <x v="0"/>
    <s v="Current Employees"/>
    <x v="1"/>
    <x v="4"/>
    <s v="STAFF-1985"/>
    <n v="1985"/>
    <x v="0"/>
    <x v="2"/>
    <x v="1"/>
    <s v="No"/>
    <s v="Y"/>
    <n v="2"/>
    <n v="-2"/>
    <n v="0"/>
    <n v="40"/>
    <n v="0"/>
    <m/>
    <n v="0"/>
    <n v="1"/>
    <n v="692"/>
    <n v="11"/>
    <x v="3"/>
    <n v="1"/>
    <n v="4"/>
    <n v="73"/>
    <n v="3"/>
    <n v="2"/>
    <n v="4"/>
    <n v="6323"/>
    <n v="26849"/>
    <n v="1"/>
    <n v="11"/>
    <n v="3"/>
    <n v="1"/>
    <n v="80"/>
    <n v="1"/>
    <n v="10"/>
    <n v="4"/>
    <n v="10"/>
    <n v="9"/>
    <n v="9"/>
    <n v="4"/>
  </r>
  <r>
    <x v="1"/>
    <s v="Travel_Frequently"/>
    <x v="2"/>
    <s v="Current Employees"/>
    <x v="1"/>
    <x v="0"/>
    <s v="STAFF-1513"/>
    <n v="1513"/>
    <x v="0"/>
    <x v="2"/>
    <x v="1"/>
    <s v="No"/>
    <s v="Y"/>
    <n v="3"/>
    <n v="-2"/>
    <n v="0"/>
    <n v="29"/>
    <n v="0"/>
    <m/>
    <n v="0"/>
    <n v="1"/>
    <n v="410"/>
    <n v="2"/>
    <x v="1"/>
    <n v="1"/>
    <n v="4"/>
    <n v="97"/>
    <n v="3"/>
    <n v="1"/>
    <n v="2"/>
    <n v="3180"/>
    <n v="4668"/>
    <n v="0"/>
    <n v="13"/>
    <n v="3"/>
    <n v="3"/>
    <n v="80"/>
    <n v="3"/>
    <n v="4"/>
    <n v="3"/>
    <n v="3"/>
    <n v="2"/>
    <n v="0"/>
    <n v="2"/>
  </r>
  <r>
    <x v="1"/>
    <s v="Travel_Frequently"/>
    <x v="0"/>
    <s v="Current Employees"/>
    <x v="1"/>
    <x v="2"/>
    <s v="STAFF-1633"/>
    <n v="1633"/>
    <x v="0"/>
    <x v="3"/>
    <x v="0"/>
    <s v="No"/>
    <s v="Y"/>
    <n v="2"/>
    <n v="-2"/>
    <n v="0"/>
    <n v="39"/>
    <n v="0"/>
    <m/>
    <n v="0"/>
    <n v="1"/>
    <n v="711"/>
    <n v="4"/>
    <x v="3"/>
    <n v="1"/>
    <n v="1"/>
    <n v="81"/>
    <n v="3"/>
    <n v="2"/>
    <n v="3"/>
    <n v="5042"/>
    <n v="3140"/>
    <n v="0"/>
    <n v="13"/>
    <n v="3"/>
    <n v="4"/>
    <n v="80"/>
    <n v="0"/>
    <n v="10"/>
    <n v="1"/>
    <n v="9"/>
    <n v="2"/>
    <n v="3"/>
    <n v="8"/>
  </r>
  <r>
    <x v="1"/>
    <s v="Travel_Frequently"/>
    <x v="0"/>
    <s v="Current Employees"/>
    <x v="1"/>
    <x v="2"/>
    <s v="STAFF-1480"/>
    <n v="1480"/>
    <x v="0"/>
    <x v="2"/>
    <x v="0"/>
    <s v="No"/>
    <s v="Y"/>
    <n v="3"/>
    <n v="-2"/>
    <n v="0"/>
    <n v="42"/>
    <n v="0"/>
    <m/>
    <n v="0"/>
    <n v="1"/>
    <n v="748"/>
    <n v="9"/>
    <x v="0"/>
    <n v="1"/>
    <n v="1"/>
    <n v="74"/>
    <n v="3"/>
    <n v="1"/>
    <n v="4"/>
    <n v="3673"/>
    <n v="16458"/>
    <n v="1"/>
    <n v="13"/>
    <n v="3"/>
    <n v="3"/>
    <n v="80"/>
    <n v="0"/>
    <n v="12"/>
    <n v="3"/>
    <n v="12"/>
    <n v="9"/>
    <n v="5"/>
    <n v="8"/>
  </r>
  <r>
    <x v="1"/>
    <s v="Travel_Frequently"/>
    <x v="2"/>
    <s v="Current Employees"/>
    <x v="1"/>
    <x v="4"/>
    <s v="STAFF-1745"/>
    <n v="1745"/>
    <x v="0"/>
    <x v="1"/>
    <x v="0"/>
    <s v="No"/>
    <s v="Y"/>
    <n v="2"/>
    <n v="-2"/>
    <n v="0"/>
    <n v="30"/>
    <n v="0"/>
    <m/>
    <n v="0"/>
    <n v="1"/>
    <n v="1312"/>
    <n v="2"/>
    <x v="2"/>
    <n v="1"/>
    <n v="4"/>
    <n v="78"/>
    <n v="2"/>
    <n v="1"/>
    <n v="4"/>
    <n v="4968"/>
    <n v="26427"/>
    <n v="0"/>
    <n v="16"/>
    <n v="3"/>
    <n v="4"/>
    <n v="80"/>
    <n v="0"/>
    <n v="10"/>
    <n v="3"/>
    <n v="9"/>
    <n v="7"/>
    <n v="0"/>
    <n v="7"/>
  </r>
  <r>
    <x v="1"/>
    <s v="Travel_Frequently"/>
    <x v="0"/>
    <s v="Current Employees"/>
    <x v="0"/>
    <x v="3"/>
    <s v="STAFF-1481"/>
    <n v="1481"/>
    <x v="0"/>
    <x v="0"/>
    <x v="1"/>
    <s v="No"/>
    <s v="Y"/>
    <n v="4"/>
    <n v="-2"/>
    <n v="0"/>
    <n v="44"/>
    <n v="0"/>
    <m/>
    <n v="0"/>
    <n v="1"/>
    <n v="383"/>
    <n v="1"/>
    <x v="4"/>
    <n v="1"/>
    <n v="1"/>
    <n v="79"/>
    <n v="3"/>
    <n v="2"/>
    <n v="2"/>
    <n v="4768"/>
    <n v="9282"/>
    <n v="7"/>
    <n v="12"/>
    <n v="3"/>
    <n v="3"/>
    <n v="80"/>
    <n v="1"/>
    <n v="11"/>
    <n v="2"/>
    <n v="1"/>
    <n v="0"/>
    <n v="0"/>
    <n v="0"/>
  </r>
  <r>
    <x v="1"/>
    <s v="Travel_Frequently"/>
    <x v="2"/>
    <s v="Current Employees"/>
    <x v="0"/>
    <x v="3"/>
    <s v="STAFF-1833"/>
    <n v="1833"/>
    <x v="0"/>
    <x v="0"/>
    <x v="1"/>
    <s v="No"/>
    <s v="Y"/>
    <n v="3"/>
    <n v="-2"/>
    <n v="0"/>
    <n v="31"/>
    <n v="0"/>
    <m/>
    <n v="0"/>
    <n v="1"/>
    <n v="1125"/>
    <n v="7"/>
    <x v="2"/>
    <n v="1"/>
    <n v="1"/>
    <n v="68"/>
    <n v="3"/>
    <n v="3"/>
    <n v="2"/>
    <n v="9637"/>
    <n v="8277"/>
    <n v="2"/>
    <n v="14"/>
    <n v="3"/>
    <n v="4"/>
    <n v="80"/>
    <n v="2"/>
    <n v="9"/>
    <n v="3"/>
    <n v="3"/>
    <n v="2"/>
    <n v="2"/>
    <n v="2"/>
  </r>
  <r>
    <x v="1"/>
    <s v="Travel_Rarely"/>
    <x v="2"/>
    <s v="Current Employees"/>
    <x v="2"/>
    <x v="5"/>
    <s v="STAFF-1987"/>
    <n v="1987"/>
    <x v="0"/>
    <x v="8"/>
    <x v="1"/>
    <s v="No"/>
    <s v="Y"/>
    <n v="3"/>
    <n v="-2"/>
    <n v="0"/>
    <n v="25"/>
    <n v="0"/>
    <m/>
    <n v="0"/>
    <n v="1"/>
    <n v="309"/>
    <n v="2"/>
    <x v="3"/>
    <n v="1"/>
    <n v="3"/>
    <n v="82"/>
    <n v="3"/>
    <n v="1"/>
    <n v="2"/>
    <n v="2187"/>
    <n v="19655"/>
    <n v="4"/>
    <n v="14"/>
    <n v="3"/>
    <n v="3"/>
    <n v="80"/>
    <n v="0"/>
    <n v="6"/>
    <n v="3"/>
    <n v="2"/>
    <n v="0"/>
    <n v="1"/>
    <n v="2"/>
  </r>
  <r>
    <x v="1"/>
    <s v="Travel_Rarely"/>
    <x v="1"/>
    <s v="Current Employees"/>
    <x v="2"/>
    <x v="0"/>
    <s v="STAFF-1625"/>
    <n v="1625"/>
    <x v="0"/>
    <x v="5"/>
    <x v="1"/>
    <s v="No"/>
    <s v="Y"/>
    <n v="2"/>
    <n v="-2"/>
    <n v="0"/>
    <n v="47"/>
    <n v="0"/>
    <m/>
    <n v="0"/>
    <n v="1"/>
    <n v="1176"/>
    <n v="26"/>
    <x v="2"/>
    <n v="1"/>
    <n v="4"/>
    <n v="98"/>
    <n v="3"/>
    <n v="5"/>
    <n v="3"/>
    <n v="19658"/>
    <n v="5220"/>
    <n v="3"/>
    <n v="11"/>
    <n v="3"/>
    <n v="3"/>
    <n v="80"/>
    <n v="1"/>
    <n v="27"/>
    <n v="3"/>
    <n v="5"/>
    <n v="2"/>
    <n v="1"/>
    <n v="0"/>
  </r>
  <r>
    <x v="1"/>
    <s v="Travel_Rarely"/>
    <x v="2"/>
    <s v="Current Employees"/>
    <x v="2"/>
    <x v="2"/>
    <s v="STAFF-1461"/>
    <n v="1461"/>
    <x v="0"/>
    <x v="8"/>
    <x v="0"/>
    <s v="No"/>
    <s v="Y"/>
    <n v="3"/>
    <n v="-2"/>
    <n v="0"/>
    <n v="31"/>
    <n v="0"/>
    <m/>
    <n v="0"/>
    <n v="1"/>
    <n v="1398"/>
    <n v="8"/>
    <x v="0"/>
    <n v="1"/>
    <n v="4"/>
    <n v="96"/>
    <n v="4"/>
    <n v="1"/>
    <n v="2"/>
    <n v="2109"/>
    <n v="24609"/>
    <n v="9"/>
    <n v="18"/>
    <n v="3"/>
    <n v="4"/>
    <n v="80"/>
    <n v="0"/>
    <n v="8"/>
    <n v="3"/>
    <n v="3"/>
    <n v="2"/>
    <n v="0"/>
    <n v="2"/>
  </r>
  <r>
    <x v="1"/>
    <s v="Travel_Rarely"/>
    <x v="2"/>
    <s v="Current Employees"/>
    <x v="1"/>
    <x v="2"/>
    <s v="STAFF-1916"/>
    <n v="1916"/>
    <x v="0"/>
    <x v="2"/>
    <x v="2"/>
    <s v="No"/>
    <s v="Y"/>
    <n v="0"/>
    <n v="-2"/>
    <n v="0"/>
    <n v="31"/>
    <n v="0"/>
    <m/>
    <n v="0"/>
    <n v="1"/>
    <n v="471"/>
    <n v="4"/>
    <x v="3"/>
    <n v="1"/>
    <n v="1"/>
    <n v="62"/>
    <n v="4"/>
    <n v="1"/>
    <n v="3"/>
    <n v="3978"/>
    <n v="16031"/>
    <n v="8"/>
    <n v="12"/>
    <n v="3"/>
    <n v="2"/>
    <n v="80"/>
    <n v="1"/>
    <n v="4"/>
    <n v="2"/>
    <n v="2"/>
    <n v="2"/>
    <n v="2"/>
    <n v="2"/>
  </r>
  <r>
    <x v="1"/>
    <s v="Travel_Rarely"/>
    <x v="0"/>
    <s v="Current Employees"/>
    <x v="1"/>
    <x v="0"/>
    <s v="STAFF-1829"/>
    <n v="1829"/>
    <x v="0"/>
    <x v="4"/>
    <x v="2"/>
    <s v="No"/>
    <s v="Y"/>
    <n v="3"/>
    <n v="-2"/>
    <n v="0"/>
    <n v="40"/>
    <n v="0"/>
    <m/>
    <n v="0"/>
    <n v="1"/>
    <n v="750"/>
    <n v="12"/>
    <x v="3"/>
    <n v="1"/>
    <n v="2"/>
    <n v="47"/>
    <n v="3"/>
    <n v="2"/>
    <n v="3"/>
    <n v="4448"/>
    <n v="10748"/>
    <n v="2"/>
    <n v="12"/>
    <n v="3"/>
    <n v="2"/>
    <n v="80"/>
    <n v="1"/>
    <n v="15"/>
    <n v="3"/>
    <n v="7"/>
    <n v="4"/>
    <n v="7"/>
    <n v="7"/>
  </r>
  <r>
    <x v="1"/>
    <s v="Travel_Rarely"/>
    <x v="0"/>
    <s v="Current Employees"/>
    <x v="1"/>
    <x v="0"/>
    <s v="STAFF-1822"/>
    <n v="1822"/>
    <x v="0"/>
    <x v="4"/>
    <x v="2"/>
    <s v="No"/>
    <s v="Y"/>
    <n v="3"/>
    <n v="-2"/>
    <n v="0"/>
    <n v="40"/>
    <n v="0"/>
    <m/>
    <n v="0"/>
    <n v="1"/>
    <n v="1194"/>
    <n v="1"/>
    <x v="3"/>
    <n v="1"/>
    <n v="3"/>
    <n v="52"/>
    <n v="3"/>
    <n v="2"/>
    <n v="4"/>
    <n v="6513"/>
    <n v="9060"/>
    <n v="4"/>
    <n v="17"/>
    <n v="3"/>
    <n v="4"/>
    <n v="80"/>
    <n v="1"/>
    <n v="12"/>
    <n v="3"/>
    <n v="5"/>
    <n v="3"/>
    <n v="0"/>
    <n v="3"/>
  </r>
  <r>
    <x v="1"/>
    <s v="Travel_Rarely"/>
    <x v="2"/>
    <s v="Current Employees"/>
    <x v="1"/>
    <x v="4"/>
    <s v="STAFF-1762"/>
    <n v="1762"/>
    <x v="0"/>
    <x v="1"/>
    <x v="2"/>
    <s v="No"/>
    <s v="Y"/>
    <n v="2"/>
    <n v="-2"/>
    <n v="0"/>
    <n v="29"/>
    <n v="0"/>
    <m/>
    <n v="0"/>
    <n v="1"/>
    <n v="590"/>
    <n v="4"/>
    <x v="3"/>
    <n v="1"/>
    <n v="4"/>
    <n v="91"/>
    <n v="2"/>
    <n v="1"/>
    <n v="4"/>
    <n v="2109"/>
    <n v="10007"/>
    <n v="1"/>
    <n v="13"/>
    <n v="3"/>
    <n v="3"/>
    <n v="80"/>
    <n v="1"/>
    <n v="1"/>
    <n v="3"/>
    <n v="1"/>
    <n v="0"/>
    <n v="0"/>
    <n v="0"/>
  </r>
  <r>
    <x v="1"/>
    <s v="Travel_Rarely"/>
    <x v="2"/>
    <s v="Current Employees"/>
    <x v="1"/>
    <x v="0"/>
    <s v="STAFF-1658"/>
    <n v="1658"/>
    <x v="0"/>
    <x v="1"/>
    <x v="2"/>
    <s v="No"/>
    <s v="Y"/>
    <n v="2"/>
    <n v="-2"/>
    <n v="0"/>
    <n v="34"/>
    <n v="0"/>
    <m/>
    <n v="0"/>
    <n v="1"/>
    <n v="1130"/>
    <n v="3"/>
    <x v="3"/>
    <n v="1"/>
    <n v="4"/>
    <n v="66"/>
    <n v="3"/>
    <n v="2"/>
    <n v="2"/>
    <n v="5433"/>
    <n v="19332"/>
    <n v="1"/>
    <n v="12"/>
    <n v="3"/>
    <n v="3"/>
    <n v="80"/>
    <n v="1"/>
    <n v="11"/>
    <n v="3"/>
    <n v="11"/>
    <n v="8"/>
    <n v="7"/>
    <n v="9"/>
  </r>
  <r>
    <x v="1"/>
    <s v="Travel_Rarely"/>
    <x v="1"/>
    <s v="Current Employees"/>
    <x v="1"/>
    <x v="1"/>
    <s v="STAFF-1635"/>
    <n v="1635"/>
    <x v="0"/>
    <x v="3"/>
    <x v="2"/>
    <s v="No"/>
    <s v="Y"/>
    <n v="3"/>
    <n v="-2"/>
    <n v="0"/>
    <n v="45"/>
    <n v="0"/>
    <m/>
    <n v="0"/>
    <n v="1"/>
    <n v="1329"/>
    <n v="2"/>
    <x v="0"/>
    <n v="1"/>
    <n v="4"/>
    <n v="59"/>
    <n v="2"/>
    <n v="2"/>
    <n v="4"/>
    <n v="5770"/>
    <n v="5388"/>
    <n v="1"/>
    <n v="19"/>
    <n v="3"/>
    <n v="1"/>
    <n v="80"/>
    <n v="2"/>
    <n v="10"/>
    <n v="3"/>
    <n v="10"/>
    <n v="7"/>
    <n v="3"/>
    <n v="9"/>
  </r>
  <r>
    <x v="1"/>
    <s v="Travel_Rarely"/>
    <x v="1"/>
    <s v="Current Employees"/>
    <x v="1"/>
    <x v="0"/>
    <s v="STAFF-1656"/>
    <n v="1656"/>
    <x v="0"/>
    <x v="7"/>
    <x v="2"/>
    <s v="No"/>
    <s v="Y"/>
    <n v="3"/>
    <n v="-2"/>
    <n v="0"/>
    <n v="50"/>
    <n v="0"/>
    <m/>
    <n v="0"/>
    <n v="1"/>
    <n v="813"/>
    <n v="17"/>
    <x v="4"/>
    <n v="1"/>
    <n v="4"/>
    <n v="50"/>
    <n v="2"/>
    <n v="3"/>
    <n v="3"/>
    <n v="13269"/>
    <n v="21981"/>
    <n v="5"/>
    <n v="15"/>
    <n v="3"/>
    <n v="3"/>
    <n v="80"/>
    <n v="3"/>
    <n v="19"/>
    <n v="3"/>
    <n v="14"/>
    <n v="11"/>
    <n v="1"/>
    <n v="11"/>
  </r>
  <r>
    <x v="1"/>
    <s v="Travel_Rarely"/>
    <x v="2"/>
    <s v="Current Employees"/>
    <x v="1"/>
    <x v="2"/>
    <s v="STAFF-1502"/>
    <n v="1502"/>
    <x v="0"/>
    <x v="2"/>
    <x v="1"/>
    <s v="No"/>
    <s v="Y"/>
    <n v="5"/>
    <n v="-2"/>
    <n v="0"/>
    <n v="33"/>
    <n v="0"/>
    <m/>
    <n v="0"/>
    <n v="1"/>
    <n v="1099"/>
    <n v="4"/>
    <x v="2"/>
    <n v="1"/>
    <n v="1"/>
    <n v="82"/>
    <n v="2"/>
    <n v="1"/>
    <n v="2"/>
    <n v="3838"/>
    <n v="8192"/>
    <n v="8"/>
    <n v="11"/>
    <n v="3"/>
    <n v="4"/>
    <n v="80"/>
    <n v="0"/>
    <n v="8"/>
    <n v="3"/>
    <n v="5"/>
    <n v="4"/>
    <n v="0"/>
    <n v="2"/>
  </r>
  <r>
    <x v="1"/>
    <s v="Travel_Rarely"/>
    <x v="0"/>
    <s v="Current Employees"/>
    <x v="1"/>
    <x v="2"/>
    <s v="STAFF-1866"/>
    <n v="1866"/>
    <x v="0"/>
    <x v="5"/>
    <x v="1"/>
    <s v="No"/>
    <s v="Y"/>
    <n v="2"/>
    <n v="-2"/>
    <n v="0"/>
    <n v="43"/>
    <n v="0"/>
    <m/>
    <n v="0"/>
    <n v="1"/>
    <n v="823"/>
    <n v="6"/>
    <x v="3"/>
    <n v="1"/>
    <n v="1"/>
    <n v="81"/>
    <n v="2"/>
    <n v="5"/>
    <n v="3"/>
    <n v="19392"/>
    <n v="22539"/>
    <n v="7"/>
    <n v="13"/>
    <n v="3"/>
    <n v="4"/>
    <n v="80"/>
    <n v="0"/>
    <n v="21"/>
    <n v="3"/>
    <n v="16"/>
    <n v="12"/>
    <n v="6"/>
    <n v="14"/>
  </r>
  <r>
    <x v="1"/>
    <s v="Travel_Rarely"/>
    <x v="1"/>
    <s v="Current Employees"/>
    <x v="1"/>
    <x v="4"/>
    <s v="STAFF-1786"/>
    <n v="1786"/>
    <x v="0"/>
    <x v="5"/>
    <x v="1"/>
    <s v="No"/>
    <s v="Y"/>
    <n v="2"/>
    <n v="-2"/>
    <n v="0"/>
    <n v="51"/>
    <n v="0"/>
    <m/>
    <n v="0"/>
    <n v="1"/>
    <n v="942"/>
    <n v="3"/>
    <x v="3"/>
    <n v="1"/>
    <n v="4"/>
    <n v="53"/>
    <n v="3"/>
    <n v="3"/>
    <n v="4"/>
    <n v="13116"/>
    <n v="22984"/>
    <n v="2"/>
    <n v="11"/>
    <n v="3"/>
    <n v="4"/>
    <n v="80"/>
    <n v="0"/>
    <n v="15"/>
    <n v="3"/>
    <n v="2"/>
    <n v="2"/>
    <n v="2"/>
    <n v="2"/>
  </r>
  <r>
    <x v="1"/>
    <s v="Travel_Rarely"/>
    <x v="2"/>
    <s v="Current Employees"/>
    <x v="1"/>
    <x v="0"/>
    <s v="STAFF-1701"/>
    <n v="1701"/>
    <x v="0"/>
    <x v="1"/>
    <x v="1"/>
    <s v="No"/>
    <s v="Y"/>
    <n v="3"/>
    <n v="-2"/>
    <n v="0"/>
    <n v="34"/>
    <n v="0"/>
    <m/>
    <n v="0"/>
    <n v="1"/>
    <n v="678"/>
    <n v="19"/>
    <x v="3"/>
    <n v="1"/>
    <n v="2"/>
    <n v="35"/>
    <n v="2"/>
    <n v="1"/>
    <n v="4"/>
    <n v="2929"/>
    <n v="20338"/>
    <n v="1"/>
    <n v="12"/>
    <n v="3"/>
    <n v="2"/>
    <n v="80"/>
    <n v="0"/>
    <n v="10"/>
    <n v="3"/>
    <n v="10"/>
    <n v="9"/>
    <n v="8"/>
    <n v="7"/>
  </r>
  <r>
    <x v="1"/>
    <s v="Travel_Rarely"/>
    <x v="2"/>
    <s v="Current Employees"/>
    <x v="1"/>
    <x v="2"/>
    <s v="STAFF-1647"/>
    <n v="1647"/>
    <x v="0"/>
    <x v="1"/>
    <x v="1"/>
    <s v="No"/>
    <s v="Y"/>
    <n v="0"/>
    <n v="-2"/>
    <n v="0"/>
    <n v="27"/>
    <n v="0"/>
    <m/>
    <n v="0"/>
    <n v="1"/>
    <n v="486"/>
    <n v="8"/>
    <x v="3"/>
    <n v="1"/>
    <n v="2"/>
    <n v="86"/>
    <n v="4"/>
    <n v="1"/>
    <n v="3"/>
    <n v="3517"/>
    <n v="22490"/>
    <n v="7"/>
    <n v="17"/>
    <n v="3"/>
    <n v="1"/>
    <n v="80"/>
    <n v="0"/>
    <n v="5"/>
    <n v="3"/>
    <n v="3"/>
    <n v="2"/>
    <n v="0"/>
    <n v="2"/>
  </r>
  <r>
    <x v="1"/>
    <s v="Travel_Rarely"/>
    <x v="1"/>
    <s v="Current Employees"/>
    <x v="1"/>
    <x v="1"/>
    <s v="STAFF-1409"/>
    <n v="1409"/>
    <x v="0"/>
    <x v="2"/>
    <x v="1"/>
    <s v="No"/>
    <s v="Y"/>
    <n v="2"/>
    <n v="-2"/>
    <n v="0"/>
    <n v="52"/>
    <n v="0"/>
    <m/>
    <n v="0"/>
    <n v="1"/>
    <n v="258"/>
    <n v="8"/>
    <x v="2"/>
    <n v="1"/>
    <n v="3"/>
    <n v="54"/>
    <n v="3"/>
    <n v="1"/>
    <n v="3"/>
    <n v="2950"/>
    <n v="17363"/>
    <n v="9"/>
    <n v="13"/>
    <n v="3"/>
    <n v="3"/>
    <n v="80"/>
    <n v="0"/>
    <n v="12"/>
    <n v="1"/>
    <n v="5"/>
    <n v="4"/>
    <n v="0"/>
    <n v="4"/>
  </r>
  <r>
    <x v="1"/>
    <s v="Travel_Rarely"/>
    <x v="0"/>
    <s v="Current Employees"/>
    <x v="1"/>
    <x v="2"/>
    <s v="STAFF-2015"/>
    <n v="2015"/>
    <x v="0"/>
    <x v="7"/>
    <x v="1"/>
    <s v="No"/>
    <s v="Y"/>
    <n v="3"/>
    <n v="-2"/>
    <n v="0"/>
    <n v="38"/>
    <n v="0"/>
    <m/>
    <n v="0"/>
    <n v="1"/>
    <n v="201"/>
    <n v="10"/>
    <x v="3"/>
    <n v="1"/>
    <n v="2"/>
    <n v="99"/>
    <n v="1"/>
    <n v="3"/>
    <n v="3"/>
    <n v="13206"/>
    <n v="3376"/>
    <n v="3"/>
    <n v="12"/>
    <n v="3"/>
    <n v="1"/>
    <n v="80"/>
    <n v="1"/>
    <n v="20"/>
    <n v="3"/>
    <n v="18"/>
    <n v="16"/>
    <n v="1"/>
    <n v="11"/>
  </r>
  <r>
    <x v="1"/>
    <s v="Travel_Rarely"/>
    <x v="0"/>
    <s v="Current Employees"/>
    <x v="1"/>
    <x v="2"/>
    <s v="STAFF-1640"/>
    <n v="1640"/>
    <x v="0"/>
    <x v="1"/>
    <x v="1"/>
    <s v="No"/>
    <s v="Y"/>
    <n v="2"/>
    <n v="-2"/>
    <n v="0"/>
    <n v="37"/>
    <n v="0"/>
    <m/>
    <n v="0"/>
    <n v="1"/>
    <n v="1470"/>
    <n v="10"/>
    <x v="3"/>
    <n v="1"/>
    <n v="2"/>
    <n v="71"/>
    <n v="3"/>
    <n v="1"/>
    <n v="2"/>
    <n v="3936"/>
    <n v="9953"/>
    <n v="1"/>
    <n v="11"/>
    <n v="3"/>
    <n v="1"/>
    <n v="80"/>
    <n v="1"/>
    <n v="8"/>
    <n v="1"/>
    <n v="8"/>
    <n v="4"/>
    <n v="7"/>
    <n v="7"/>
  </r>
  <r>
    <x v="1"/>
    <s v="Travel_Rarely"/>
    <x v="2"/>
    <s v="Current Employees"/>
    <x v="1"/>
    <x v="1"/>
    <s v="STAFF-1544"/>
    <n v="1544"/>
    <x v="0"/>
    <x v="4"/>
    <x v="1"/>
    <s v="No"/>
    <s v="Y"/>
    <n v="3"/>
    <n v="-2"/>
    <n v="0"/>
    <n v="29"/>
    <n v="0"/>
    <m/>
    <n v="0"/>
    <n v="1"/>
    <n v="441"/>
    <n v="8"/>
    <x v="1"/>
    <n v="1"/>
    <n v="3"/>
    <n v="39"/>
    <n v="1"/>
    <n v="2"/>
    <n v="3"/>
    <n v="9715"/>
    <n v="7288"/>
    <n v="3"/>
    <n v="13"/>
    <n v="3"/>
    <n v="3"/>
    <n v="80"/>
    <n v="1"/>
    <n v="9"/>
    <n v="3"/>
    <n v="7"/>
    <n v="7"/>
    <n v="0"/>
    <n v="7"/>
  </r>
  <r>
    <x v="1"/>
    <s v="Travel_Rarely"/>
    <x v="0"/>
    <s v="Current Employees"/>
    <x v="1"/>
    <x v="0"/>
    <s v="STAFF-2052"/>
    <n v="2052"/>
    <x v="0"/>
    <x v="1"/>
    <x v="1"/>
    <s v="No"/>
    <s v="Y"/>
    <n v="5"/>
    <n v="-2"/>
    <n v="0"/>
    <n v="35"/>
    <n v="0"/>
    <m/>
    <n v="0"/>
    <n v="1"/>
    <n v="287"/>
    <n v="1"/>
    <x v="2"/>
    <n v="1"/>
    <n v="3"/>
    <n v="62"/>
    <n v="1"/>
    <n v="1"/>
    <n v="4"/>
    <n v="2977"/>
    <n v="8952"/>
    <n v="1"/>
    <n v="12"/>
    <n v="3"/>
    <n v="4"/>
    <n v="80"/>
    <n v="1"/>
    <n v="4"/>
    <n v="3"/>
    <n v="4"/>
    <n v="3"/>
    <n v="1"/>
    <n v="1"/>
  </r>
  <r>
    <x v="1"/>
    <s v="Travel_Rarely"/>
    <x v="0"/>
    <s v="Current Employees"/>
    <x v="1"/>
    <x v="0"/>
    <s v="STAFF-1802"/>
    <n v="1802"/>
    <x v="0"/>
    <x v="2"/>
    <x v="1"/>
    <s v="No"/>
    <s v="Y"/>
    <n v="5"/>
    <n v="-2"/>
    <n v="0"/>
    <n v="40"/>
    <n v="0"/>
    <m/>
    <n v="0"/>
    <n v="1"/>
    <n v="616"/>
    <n v="2"/>
    <x v="0"/>
    <n v="1"/>
    <n v="3"/>
    <n v="99"/>
    <n v="3"/>
    <n v="1"/>
    <n v="3"/>
    <n v="3377"/>
    <n v="25605"/>
    <n v="4"/>
    <n v="17"/>
    <n v="3"/>
    <n v="4"/>
    <n v="80"/>
    <n v="1"/>
    <n v="7"/>
    <n v="2"/>
    <n v="4"/>
    <n v="3"/>
    <n v="0"/>
    <n v="2"/>
  </r>
  <r>
    <x v="1"/>
    <s v="Travel_Rarely"/>
    <x v="1"/>
    <s v="Current Employees"/>
    <x v="1"/>
    <x v="0"/>
    <s v="STAFF-1617"/>
    <n v="1617"/>
    <x v="0"/>
    <x v="2"/>
    <x v="1"/>
    <s v="No"/>
    <s v="Y"/>
    <n v="3"/>
    <n v="-2"/>
    <n v="0"/>
    <n v="49"/>
    <n v="0"/>
    <m/>
    <n v="0"/>
    <n v="1"/>
    <n v="722"/>
    <n v="25"/>
    <x v="2"/>
    <n v="1"/>
    <n v="3"/>
    <n v="84"/>
    <n v="3"/>
    <n v="1"/>
    <n v="3"/>
    <n v="3211"/>
    <n v="22102"/>
    <n v="1"/>
    <n v="14"/>
    <n v="3"/>
    <n v="4"/>
    <n v="80"/>
    <n v="1"/>
    <n v="10"/>
    <n v="2"/>
    <n v="9"/>
    <n v="6"/>
    <n v="1"/>
    <n v="4"/>
  </r>
  <r>
    <x v="1"/>
    <s v="Travel_Rarely"/>
    <x v="1"/>
    <s v="Current Employees"/>
    <x v="1"/>
    <x v="1"/>
    <s v="STAFF-1576"/>
    <n v="1576"/>
    <x v="0"/>
    <x v="1"/>
    <x v="1"/>
    <s v="No"/>
    <s v="Y"/>
    <n v="3"/>
    <n v="-2"/>
    <n v="0"/>
    <n v="48"/>
    <n v="0"/>
    <m/>
    <n v="0"/>
    <n v="1"/>
    <n v="1108"/>
    <n v="15"/>
    <x v="2"/>
    <n v="1"/>
    <n v="3"/>
    <n v="65"/>
    <n v="3"/>
    <n v="1"/>
    <n v="3"/>
    <n v="2367"/>
    <n v="16530"/>
    <n v="8"/>
    <n v="12"/>
    <n v="3"/>
    <n v="4"/>
    <n v="80"/>
    <n v="1"/>
    <n v="10"/>
    <n v="2"/>
    <n v="8"/>
    <n v="2"/>
    <n v="7"/>
    <n v="6"/>
  </r>
  <r>
    <x v="1"/>
    <s v="Travel_Rarely"/>
    <x v="2"/>
    <s v="Current Employees"/>
    <x v="1"/>
    <x v="0"/>
    <s v="STAFF-1447"/>
    <n v="1447"/>
    <x v="0"/>
    <x v="2"/>
    <x v="1"/>
    <s v="No"/>
    <s v="Y"/>
    <n v="2"/>
    <n v="-2"/>
    <n v="0"/>
    <n v="34"/>
    <n v="0"/>
    <m/>
    <n v="0"/>
    <n v="1"/>
    <n v="401"/>
    <n v="1"/>
    <x v="3"/>
    <n v="1"/>
    <n v="4"/>
    <n v="86"/>
    <n v="2"/>
    <n v="1"/>
    <n v="2"/>
    <n v="3294"/>
    <n v="3708"/>
    <n v="5"/>
    <n v="17"/>
    <n v="3"/>
    <n v="1"/>
    <n v="80"/>
    <n v="1"/>
    <n v="7"/>
    <n v="2"/>
    <n v="5"/>
    <n v="4"/>
    <n v="0"/>
    <n v="2"/>
  </r>
  <r>
    <x v="1"/>
    <s v="Travel_Rarely"/>
    <x v="2"/>
    <s v="Current Employees"/>
    <x v="1"/>
    <x v="0"/>
    <s v="STAFF-1555"/>
    <n v="1555"/>
    <x v="0"/>
    <x v="1"/>
    <x v="1"/>
    <s v="No"/>
    <s v="Y"/>
    <n v="2"/>
    <n v="-2"/>
    <n v="0"/>
    <n v="32"/>
    <n v="0"/>
    <m/>
    <n v="0"/>
    <n v="1"/>
    <n v="824"/>
    <n v="5"/>
    <x v="0"/>
    <n v="1"/>
    <n v="4"/>
    <n v="67"/>
    <n v="2"/>
    <n v="2"/>
    <n v="2"/>
    <n v="5878"/>
    <n v="15624"/>
    <n v="3"/>
    <n v="12"/>
    <n v="3"/>
    <n v="1"/>
    <n v="80"/>
    <n v="1"/>
    <n v="12"/>
    <n v="3"/>
    <n v="7"/>
    <n v="1"/>
    <n v="2"/>
    <n v="5"/>
  </r>
  <r>
    <x v="1"/>
    <s v="Travel_Rarely"/>
    <x v="0"/>
    <s v="Current Employees"/>
    <x v="1"/>
    <x v="1"/>
    <s v="STAFF-1782"/>
    <n v="1782"/>
    <x v="0"/>
    <x v="2"/>
    <x v="1"/>
    <s v="No"/>
    <s v="Y"/>
    <n v="3"/>
    <n v="-2"/>
    <n v="0"/>
    <n v="38"/>
    <n v="0"/>
    <m/>
    <n v="0"/>
    <n v="1"/>
    <n v="1153"/>
    <n v="6"/>
    <x v="0"/>
    <n v="1"/>
    <n v="4"/>
    <n v="40"/>
    <n v="2"/>
    <n v="1"/>
    <n v="3"/>
    <n v="3702"/>
    <n v="16376"/>
    <n v="1"/>
    <n v="11"/>
    <n v="3"/>
    <n v="2"/>
    <n v="80"/>
    <n v="1"/>
    <n v="5"/>
    <n v="3"/>
    <n v="5"/>
    <n v="4"/>
    <n v="0"/>
    <n v="4"/>
  </r>
  <r>
    <x v="1"/>
    <s v="Travel_Rarely"/>
    <x v="0"/>
    <s v="Current Employees"/>
    <x v="1"/>
    <x v="2"/>
    <s v="STAFF-1687"/>
    <n v="1687"/>
    <x v="0"/>
    <x v="2"/>
    <x v="1"/>
    <s v="No"/>
    <s v="Y"/>
    <n v="5"/>
    <n v="-2"/>
    <n v="0"/>
    <n v="38"/>
    <n v="0"/>
    <m/>
    <n v="0"/>
    <n v="1"/>
    <n v="1495"/>
    <n v="4"/>
    <x v="0"/>
    <n v="1"/>
    <n v="4"/>
    <n v="87"/>
    <n v="3"/>
    <n v="1"/>
    <n v="3"/>
    <n v="3306"/>
    <n v="26176"/>
    <n v="7"/>
    <n v="19"/>
    <n v="3"/>
    <n v="4"/>
    <n v="80"/>
    <n v="1"/>
    <n v="7"/>
    <n v="2"/>
    <n v="0"/>
    <n v="0"/>
    <n v="0"/>
    <n v="0"/>
  </r>
  <r>
    <x v="1"/>
    <s v="Travel_Rarely"/>
    <x v="2"/>
    <s v="Current Employees"/>
    <x v="1"/>
    <x v="2"/>
    <s v="STAFF-1709"/>
    <n v="1709"/>
    <x v="0"/>
    <x v="2"/>
    <x v="1"/>
    <s v="No"/>
    <s v="Y"/>
    <n v="2"/>
    <n v="-2"/>
    <n v="0"/>
    <n v="29"/>
    <n v="0"/>
    <m/>
    <n v="0"/>
    <n v="1"/>
    <n v="1082"/>
    <n v="9"/>
    <x v="2"/>
    <n v="1"/>
    <n v="4"/>
    <n v="43"/>
    <n v="3"/>
    <n v="1"/>
    <n v="3"/>
    <n v="2974"/>
    <n v="25412"/>
    <n v="9"/>
    <n v="17"/>
    <n v="3"/>
    <n v="3"/>
    <n v="80"/>
    <n v="1"/>
    <n v="9"/>
    <n v="3"/>
    <n v="5"/>
    <n v="3"/>
    <n v="1"/>
    <n v="2"/>
  </r>
  <r>
    <x v="1"/>
    <s v="Travel_Rarely"/>
    <x v="1"/>
    <s v="Current Employees"/>
    <x v="1"/>
    <x v="2"/>
    <s v="STAFF-1830"/>
    <n v="1830"/>
    <x v="0"/>
    <x v="1"/>
    <x v="1"/>
    <s v="No"/>
    <s v="Y"/>
    <n v="2"/>
    <n v="-2"/>
    <n v="0"/>
    <n v="54"/>
    <n v="0"/>
    <m/>
    <n v="0"/>
    <n v="1"/>
    <n v="431"/>
    <n v="7"/>
    <x v="2"/>
    <n v="1"/>
    <n v="4"/>
    <n v="68"/>
    <n v="3"/>
    <n v="2"/>
    <n v="4"/>
    <n v="6854"/>
    <n v="15696"/>
    <n v="4"/>
    <n v="15"/>
    <n v="3"/>
    <n v="2"/>
    <n v="80"/>
    <n v="1"/>
    <n v="14"/>
    <n v="2"/>
    <n v="7"/>
    <n v="1"/>
    <n v="1"/>
    <n v="7"/>
  </r>
  <r>
    <x v="1"/>
    <s v="Travel_Rarely"/>
    <x v="0"/>
    <s v="Current Employees"/>
    <x v="1"/>
    <x v="0"/>
    <s v="STAFF-1628"/>
    <n v="1628"/>
    <x v="0"/>
    <x v="3"/>
    <x v="1"/>
    <s v="No"/>
    <s v="Y"/>
    <n v="2"/>
    <n v="-2"/>
    <n v="0"/>
    <n v="40"/>
    <n v="0"/>
    <m/>
    <n v="0"/>
    <n v="1"/>
    <n v="884"/>
    <n v="15"/>
    <x v="3"/>
    <n v="1"/>
    <n v="1"/>
    <n v="80"/>
    <n v="2"/>
    <n v="3"/>
    <n v="3"/>
    <n v="10435"/>
    <n v="25800"/>
    <n v="1"/>
    <n v="13"/>
    <n v="3"/>
    <n v="4"/>
    <n v="80"/>
    <n v="2"/>
    <n v="18"/>
    <n v="3"/>
    <n v="18"/>
    <n v="15"/>
    <n v="14"/>
    <n v="12"/>
  </r>
  <r>
    <x v="1"/>
    <s v="Travel_Rarely"/>
    <x v="1"/>
    <s v="Current Employees"/>
    <x v="1"/>
    <x v="1"/>
    <s v="STAFF-1655"/>
    <n v="1655"/>
    <x v="0"/>
    <x v="7"/>
    <x v="1"/>
    <s v="No"/>
    <s v="Y"/>
    <n v="2"/>
    <n v="-2"/>
    <n v="0"/>
    <n v="49"/>
    <n v="0"/>
    <m/>
    <n v="0"/>
    <n v="1"/>
    <n v="301"/>
    <n v="22"/>
    <x v="2"/>
    <n v="1"/>
    <n v="1"/>
    <n v="72"/>
    <n v="3"/>
    <n v="4"/>
    <n v="2"/>
    <n v="16413"/>
    <n v="3498"/>
    <n v="3"/>
    <n v="16"/>
    <n v="3"/>
    <n v="2"/>
    <n v="80"/>
    <n v="2"/>
    <n v="27"/>
    <n v="3"/>
    <n v="4"/>
    <n v="2"/>
    <n v="1"/>
    <n v="2"/>
  </r>
  <r>
    <x v="1"/>
    <s v="Travel_Rarely"/>
    <x v="1"/>
    <s v="Current Employees"/>
    <x v="1"/>
    <x v="0"/>
    <s v="STAFF-1969"/>
    <n v="1969"/>
    <x v="0"/>
    <x v="1"/>
    <x v="1"/>
    <s v="No"/>
    <s v="Y"/>
    <n v="6"/>
    <n v="-2"/>
    <n v="0"/>
    <n v="54"/>
    <n v="0"/>
    <m/>
    <n v="0"/>
    <n v="1"/>
    <n v="155"/>
    <n v="9"/>
    <x v="0"/>
    <n v="1"/>
    <n v="1"/>
    <n v="67"/>
    <n v="3"/>
    <n v="2"/>
    <n v="3"/>
    <n v="2897"/>
    <n v="22474"/>
    <n v="3"/>
    <n v="11"/>
    <n v="3"/>
    <n v="3"/>
    <n v="80"/>
    <n v="2"/>
    <n v="9"/>
    <n v="2"/>
    <n v="4"/>
    <n v="3"/>
    <n v="2"/>
    <n v="3"/>
  </r>
  <r>
    <x v="1"/>
    <s v="Travel_Rarely"/>
    <x v="1"/>
    <s v="Current Employees"/>
    <x v="1"/>
    <x v="2"/>
    <s v="STAFF-1443"/>
    <n v="1443"/>
    <x v="0"/>
    <x v="7"/>
    <x v="1"/>
    <s v="No"/>
    <s v="Y"/>
    <n v="2"/>
    <n v="-2"/>
    <n v="0"/>
    <n v="47"/>
    <n v="0"/>
    <m/>
    <n v="0"/>
    <n v="1"/>
    <n v="359"/>
    <n v="2"/>
    <x v="2"/>
    <n v="1"/>
    <n v="1"/>
    <n v="82"/>
    <n v="3"/>
    <n v="4"/>
    <n v="3"/>
    <n v="17169"/>
    <n v="26703"/>
    <n v="3"/>
    <n v="19"/>
    <n v="3"/>
    <n v="2"/>
    <n v="80"/>
    <n v="2"/>
    <n v="26"/>
    <n v="4"/>
    <n v="20"/>
    <n v="17"/>
    <n v="5"/>
    <n v="6"/>
  </r>
  <r>
    <x v="1"/>
    <s v="Travel_Rarely"/>
    <x v="1"/>
    <s v="Current Employees"/>
    <x v="1"/>
    <x v="0"/>
    <s v="STAFF-1888"/>
    <n v="1888"/>
    <x v="0"/>
    <x v="3"/>
    <x v="1"/>
    <s v="No"/>
    <s v="Y"/>
    <n v="2"/>
    <n v="-2"/>
    <n v="0"/>
    <n v="45"/>
    <n v="0"/>
    <m/>
    <n v="0"/>
    <n v="1"/>
    <n v="556"/>
    <n v="25"/>
    <x v="0"/>
    <n v="1"/>
    <n v="2"/>
    <n v="93"/>
    <n v="2"/>
    <n v="2"/>
    <n v="4"/>
    <n v="5906"/>
    <n v="23888"/>
    <n v="0"/>
    <n v="13"/>
    <n v="3"/>
    <n v="4"/>
    <n v="80"/>
    <n v="2"/>
    <n v="10"/>
    <n v="2"/>
    <n v="9"/>
    <n v="8"/>
    <n v="3"/>
    <n v="8"/>
  </r>
  <r>
    <x v="1"/>
    <s v="Travel_Rarely"/>
    <x v="0"/>
    <s v="Current Employees"/>
    <x v="1"/>
    <x v="0"/>
    <s v="STAFF-1651"/>
    <n v="1651"/>
    <x v="0"/>
    <x v="4"/>
    <x v="1"/>
    <s v="No"/>
    <s v="Y"/>
    <n v="6"/>
    <n v="-2"/>
    <n v="0"/>
    <n v="36"/>
    <n v="0"/>
    <m/>
    <n v="0"/>
    <n v="1"/>
    <n v="711"/>
    <n v="5"/>
    <x v="2"/>
    <n v="1"/>
    <n v="2"/>
    <n v="42"/>
    <n v="3"/>
    <n v="3"/>
    <n v="3"/>
    <n v="8008"/>
    <n v="22792"/>
    <n v="4"/>
    <n v="12"/>
    <n v="3"/>
    <n v="3"/>
    <n v="80"/>
    <n v="2"/>
    <n v="9"/>
    <n v="3"/>
    <n v="3"/>
    <n v="2"/>
    <n v="0"/>
    <n v="2"/>
  </r>
  <r>
    <x v="1"/>
    <s v="Travel_Rarely"/>
    <x v="2"/>
    <s v="Current Employees"/>
    <x v="1"/>
    <x v="1"/>
    <s v="STAFF-1607"/>
    <n v="1607"/>
    <x v="0"/>
    <x v="1"/>
    <x v="1"/>
    <s v="No"/>
    <s v="Y"/>
    <n v="3"/>
    <n v="-2"/>
    <n v="0"/>
    <n v="32"/>
    <n v="0"/>
    <m/>
    <n v="0"/>
    <n v="1"/>
    <n v="634"/>
    <n v="5"/>
    <x v="2"/>
    <n v="1"/>
    <n v="2"/>
    <n v="35"/>
    <n v="4"/>
    <n v="1"/>
    <n v="4"/>
    <n v="3312"/>
    <n v="18783"/>
    <n v="3"/>
    <n v="17"/>
    <n v="3"/>
    <n v="4"/>
    <n v="80"/>
    <n v="2"/>
    <n v="6"/>
    <n v="3"/>
    <n v="3"/>
    <n v="2"/>
    <n v="0"/>
    <n v="2"/>
  </r>
  <r>
    <x v="1"/>
    <s v="Travel_Rarely"/>
    <x v="0"/>
    <s v="Current Employees"/>
    <x v="1"/>
    <x v="2"/>
    <s v="STAFF-2051"/>
    <n v="2051"/>
    <x v="0"/>
    <x v="1"/>
    <x v="1"/>
    <s v="No"/>
    <s v="Y"/>
    <n v="2"/>
    <n v="-2"/>
    <n v="0"/>
    <n v="40"/>
    <n v="0"/>
    <m/>
    <n v="0"/>
    <n v="1"/>
    <n v="1194"/>
    <n v="2"/>
    <x v="2"/>
    <n v="1"/>
    <n v="3"/>
    <n v="98"/>
    <n v="3"/>
    <n v="1"/>
    <n v="3"/>
    <n v="2001"/>
    <n v="12549"/>
    <n v="2"/>
    <n v="14"/>
    <n v="3"/>
    <n v="2"/>
    <n v="80"/>
    <n v="3"/>
    <n v="20"/>
    <n v="3"/>
    <n v="5"/>
    <n v="3"/>
    <n v="0"/>
    <n v="2"/>
  </r>
  <r>
    <x v="1"/>
    <s v="Travel_Rarely"/>
    <x v="2"/>
    <s v="Current Employees"/>
    <x v="1"/>
    <x v="0"/>
    <s v="STAFF-1430"/>
    <n v="1430"/>
    <x v="0"/>
    <x v="7"/>
    <x v="0"/>
    <s v="No"/>
    <s v="Y"/>
    <n v="3"/>
    <n v="-2"/>
    <n v="0"/>
    <n v="31"/>
    <n v="0"/>
    <m/>
    <n v="0"/>
    <n v="1"/>
    <n v="182"/>
    <n v="8"/>
    <x v="4"/>
    <n v="1"/>
    <n v="1"/>
    <n v="93"/>
    <n v="3"/>
    <n v="4"/>
    <n v="2"/>
    <n v="16422"/>
    <n v="8847"/>
    <n v="3"/>
    <n v="11"/>
    <n v="3"/>
    <n v="3"/>
    <n v="80"/>
    <n v="0"/>
    <n v="9"/>
    <n v="4"/>
    <n v="3"/>
    <n v="2"/>
    <n v="1"/>
    <n v="0"/>
  </r>
  <r>
    <x v="1"/>
    <s v="Travel_Rarely"/>
    <x v="0"/>
    <s v="Current Employees"/>
    <x v="1"/>
    <x v="2"/>
    <s v="STAFF-1411"/>
    <n v="1411"/>
    <x v="0"/>
    <x v="2"/>
    <x v="0"/>
    <s v="No"/>
    <s v="Y"/>
    <n v="6"/>
    <n v="-2"/>
    <n v="0"/>
    <n v="37"/>
    <n v="0"/>
    <m/>
    <n v="0"/>
    <n v="1"/>
    <n v="1462"/>
    <n v="11"/>
    <x v="3"/>
    <n v="1"/>
    <n v="1"/>
    <n v="94"/>
    <n v="3"/>
    <n v="1"/>
    <n v="3"/>
    <n v="3629"/>
    <n v="19106"/>
    <n v="4"/>
    <n v="18"/>
    <n v="3"/>
    <n v="1"/>
    <n v="80"/>
    <n v="0"/>
    <n v="8"/>
    <n v="3"/>
    <n v="3"/>
    <n v="2"/>
    <n v="0"/>
    <n v="2"/>
  </r>
  <r>
    <x v="1"/>
    <s v="Travel_Rarely"/>
    <x v="2"/>
    <s v="Current Employees"/>
    <x v="1"/>
    <x v="2"/>
    <s v="STAFF-1816"/>
    <n v="1816"/>
    <x v="0"/>
    <x v="3"/>
    <x v="0"/>
    <s v="No"/>
    <s v="Y"/>
    <n v="3"/>
    <n v="-2"/>
    <n v="0"/>
    <n v="30"/>
    <n v="0"/>
    <m/>
    <n v="0"/>
    <n v="1"/>
    <n v="1092"/>
    <n v="10"/>
    <x v="3"/>
    <n v="1"/>
    <n v="1"/>
    <n v="64"/>
    <n v="3"/>
    <n v="3"/>
    <n v="3"/>
    <n v="9667"/>
    <n v="2739"/>
    <n v="9"/>
    <n v="14"/>
    <n v="3"/>
    <n v="2"/>
    <n v="80"/>
    <n v="0"/>
    <n v="9"/>
    <n v="3"/>
    <n v="7"/>
    <n v="7"/>
    <n v="0"/>
    <n v="2"/>
  </r>
  <r>
    <x v="1"/>
    <s v="Travel_Rarely"/>
    <x v="0"/>
    <s v="Current Employees"/>
    <x v="1"/>
    <x v="0"/>
    <s v="STAFF-1525"/>
    <n v="1525"/>
    <x v="0"/>
    <x v="3"/>
    <x v="0"/>
    <s v="No"/>
    <s v="Y"/>
    <n v="3"/>
    <n v="-2"/>
    <n v="0"/>
    <n v="39"/>
    <n v="0"/>
    <m/>
    <n v="0"/>
    <n v="1"/>
    <n v="1089"/>
    <n v="6"/>
    <x v="3"/>
    <n v="1"/>
    <n v="2"/>
    <n v="32"/>
    <n v="3"/>
    <n v="3"/>
    <n v="2"/>
    <n v="8376"/>
    <n v="9150"/>
    <n v="4"/>
    <n v="18"/>
    <n v="3"/>
    <n v="4"/>
    <n v="80"/>
    <n v="0"/>
    <n v="9"/>
    <n v="3"/>
    <n v="2"/>
    <n v="0"/>
    <n v="2"/>
    <n v="2"/>
  </r>
  <r>
    <x v="1"/>
    <s v="Travel_Rarely"/>
    <x v="1"/>
    <s v="Current Employees"/>
    <x v="1"/>
    <x v="0"/>
    <s v="STAFF-1856"/>
    <n v="1856"/>
    <x v="0"/>
    <x v="2"/>
    <x v="0"/>
    <s v="No"/>
    <s v="Y"/>
    <n v="2"/>
    <n v="-2"/>
    <n v="0"/>
    <n v="47"/>
    <n v="0"/>
    <m/>
    <n v="0"/>
    <n v="1"/>
    <n v="207"/>
    <n v="9"/>
    <x v="2"/>
    <n v="1"/>
    <n v="2"/>
    <n v="64"/>
    <n v="3"/>
    <n v="1"/>
    <n v="3"/>
    <n v="2105"/>
    <n v="5411"/>
    <n v="4"/>
    <n v="12"/>
    <n v="3"/>
    <n v="3"/>
    <n v="80"/>
    <n v="0"/>
    <n v="7"/>
    <n v="3"/>
    <n v="2"/>
    <n v="2"/>
    <n v="2"/>
    <n v="0"/>
  </r>
  <r>
    <x v="1"/>
    <s v="Travel_Rarely"/>
    <x v="2"/>
    <s v="Current Employees"/>
    <x v="1"/>
    <x v="0"/>
    <s v="STAFF-2010"/>
    <n v="2010"/>
    <x v="0"/>
    <x v="2"/>
    <x v="0"/>
    <s v="No"/>
    <s v="Y"/>
    <n v="3"/>
    <n v="-2"/>
    <n v="0"/>
    <n v="32"/>
    <n v="0"/>
    <m/>
    <n v="0"/>
    <n v="1"/>
    <n v="267"/>
    <n v="29"/>
    <x v="2"/>
    <n v="1"/>
    <n v="3"/>
    <n v="49"/>
    <n v="2"/>
    <n v="1"/>
    <n v="2"/>
    <n v="2837"/>
    <n v="15919"/>
    <n v="1"/>
    <n v="13"/>
    <n v="3"/>
    <n v="3"/>
    <n v="80"/>
    <n v="0"/>
    <n v="6"/>
    <n v="3"/>
    <n v="6"/>
    <n v="2"/>
    <n v="4"/>
    <n v="1"/>
  </r>
  <r>
    <x v="1"/>
    <s v="Travel_Rarely"/>
    <x v="4"/>
    <s v="Current Employees"/>
    <x v="1"/>
    <x v="2"/>
    <s v="STAFF-1735"/>
    <n v="1735"/>
    <x v="0"/>
    <x v="2"/>
    <x v="0"/>
    <s v="No"/>
    <s v="Y"/>
    <n v="3"/>
    <n v="-2"/>
    <n v="0"/>
    <n v="23"/>
    <n v="0"/>
    <m/>
    <n v="0"/>
    <n v="1"/>
    <n v="160"/>
    <n v="4"/>
    <x v="1"/>
    <n v="1"/>
    <n v="3"/>
    <n v="51"/>
    <n v="3"/>
    <n v="1"/>
    <n v="2"/>
    <n v="3295"/>
    <n v="12862"/>
    <n v="1"/>
    <n v="13"/>
    <n v="3"/>
    <n v="3"/>
    <n v="80"/>
    <n v="0"/>
    <n v="3"/>
    <n v="1"/>
    <n v="3"/>
    <n v="2"/>
    <n v="1"/>
    <n v="2"/>
  </r>
  <r>
    <x v="1"/>
    <s v="Travel_Rarely"/>
    <x v="2"/>
    <s v="Current Employees"/>
    <x v="1"/>
    <x v="2"/>
    <s v="STAFF-1751"/>
    <n v="1751"/>
    <x v="0"/>
    <x v="1"/>
    <x v="0"/>
    <s v="No"/>
    <s v="Y"/>
    <n v="5"/>
    <n v="-2"/>
    <n v="0"/>
    <n v="27"/>
    <n v="0"/>
    <m/>
    <n v="0"/>
    <n v="1"/>
    <n v="1054"/>
    <n v="8"/>
    <x v="3"/>
    <n v="1"/>
    <n v="3"/>
    <n v="67"/>
    <n v="3"/>
    <n v="1"/>
    <n v="4"/>
    <n v="3445"/>
    <n v="6152"/>
    <n v="1"/>
    <n v="11"/>
    <n v="3"/>
    <n v="3"/>
    <n v="80"/>
    <n v="0"/>
    <n v="6"/>
    <n v="2"/>
    <n v="6"/>
    <n v="2"/>
    <n v="1"/>
    <n v="4"/>
  </r>
  <r>
    <x v="1"/>
    <s v="Travel_Rarely"/>
    <x v="2"/>
    <s v="Current Employees"/>
    <x v="1"/>
    <x v="2"/>
    <s v="STAFF-2054"/>
    <n v="2054"/>
    <x v="0"/>
    <x v="1"/>
    <x v="0"/>
    <s v="No"/>
    <s v="Y"/>
    <n v="3"/>
    <n v="-2"/>
    <n v="0"/>
    <n v="29"/>
    <n v="0"/>
    <m/>
    <n v="0"/>
    <n v="1"/>
    <n v="468"/>
    <n v="28"/>
    <x v="2"/>
    <n v="1"/>
    <n v="4"/>
    <n v="73"/>
    <n v="2"/>
    <n v="1"/>
    <n v="3"/>
    <n v="3785"/>
    <n v="8489"/>
    <n v="1"/>
    <n v="14"/>
    <n v="3"/>
    <n v="2"/>
    <n v="80"/>
    <n v="0"/>
    <n v="5"/>
    <n v="1"/>
    <n v="5"/>
    <n v="4"/>
    <n v="0"/>
    <n v="4"/>
  </r>
  <r>
    <x v="1"/>
    <s v="Travel_Rarely"/>
    <x v="0"/>
    <s v="Current Employees"/>
    <x v="1"/>
    <x v="0"/>
    <s v="STAFF-1529"/>
    <n v="1529"/>
    <x v="0"/>
    <x v="4"/>
    <x v="0"/>
    <s v="No"/>
    <s v="Y"/>
    <n v="3"/>
    <n v="-2"/>
    <n v="0"/>
    <n v="35"/>
    <n v="0"/>
    <m/>
    <n v="0"/>
    <n v="1"/>
    <n v="1029"/>
    <n v="16"/>
    <x v="3"/>
    <n v="1"/>
    <n v="4"/>
    <n v="91"/>
    <n v="2"/>
    <n v="3"/>
    <n v="2"/>
    <n v="8606"/>
    <n v="21195"/>
    <n v="1"/>
    <n v="19"/>
    <n v="3"/>
    <n v="4"/>
    <n v="80"/>
    <n v="0"/>
    <n v="11"/>
    <n v="1"/>
    <n v="11"/>
    <n v="8"/>
    <n v="3"/>
    <n v="3"/>
  </r>
  <r>
    <x v="1"/>
    <s v="Travel_Rarely"/>
    <x v="1"/>
    <s v="Current Employees"/>
    <x v="1"/>
    <x v="4"/>
    <s v="STAFF-1719"/>
    <n v="1719"/>
    <x v="0"/>
    <x v="7"/>
    <x v="0"/>
    <s v="No"/>
    <s v="Y"/>
    <n v="2"/>
    <n v="-2"/>
    <n v="0"/>
    <n v="45"/>
    <n v="0"/>
    <m/>
    <n v="0"/>
    <n v="1"/>
    <n v="1005"/>
    <n v="28"/>
    <x v="0"/>
    <n v="1"/>
    <n v="4"/>
    <n v="48"/>
    <n v="2"/>
    <n v="4"/>
    <n v="4"/>
    <n v="16704"/>
    <n v="17119"/>
    <n v="1"/>
    <n v="11"/>
    <n v="3"/>
    <n v="3"/>
    <n v="80"/>
    <n v="0"/>
    <n v="21"/>
    <n v="3"/>
    <n v="21"/>
    <n v="6"/>
    <n v="8"/>
    <n v="6"/>
  </r>
  <r>
    <x v="1"/>
    <s v="Travel_Rarely"/>
    <x v="1"/>
    <s v="Current Employees"/>
    <x v="1"/>
    <x v="2"/>
    <s v="STAFF-1422"/>
    <n v="1422"/>
    <x v="0"/>
    <x v="7"/>
    <x v="0"/>
    <s v="No"/>
    <s v="Y"/>
    <n v="3"/>
    <n v="-2"/>
    <n v="0"/>
    <n v="54"/>
    <n v="0"/>
    <m/>
    <n v="0"/>
    <n v="1"/>
    <n v="971"/>
    <n v="1"/>
    <x v="3"/>
    <n v="1"/>
    <n v="4"/>
    <n v="54"/>
    <n v="3"/>
    <n v="4"/>
    <n v="4"/>
    <n v="17328"/>
    <n v="5652"/>
    <n v="6"/>
    <n v="19"/>
    <n v="3"/>
    <n v="4"/>
    <n v="80"/>
    <n v="0"/>
    <n v="29"/>
    <n v="2"/>
    <n v="20"/>
    <n v="7"/>
    <n v="12"/>
    <n v="7"/>
  </r>
  <r>
    <x v="1"/>
    <s v="Travel_Rarely"/>
    <x v="1"/>
    <s v="Current Employees"/>
    <x v="0"/>
    <x v="4"/>
    <s v="STAFF-1863"/>
    <n v="1863"/>
    <x v="0"/>
    <x v="0"/>
    <x v="2"/>
    <s v="No"/>
    <s v="Y"/>
    <n v="5"/>
    <n v="-2"/>
    <n v="0"/>
    <n v="46"/>
    <n v="0"/>
    <m/>
    <n v="0"/>
    <n v="1"/>
    <n v="1319"/>
    <n v="3"/>
    <x v="3"/>
    <n v="1"/>
    <n v="4"/>
    <n v="45"/>
    <n v="4"/>
    <n v="4"/>
    <n v="4"/>
    <n v="13225"/>
    <n v="7739"/>
    <n v="2"/>
    <n v="12"/>
    <n v="3"/>
    <n v="4"/>
    <n v="80"/>
    <n v="1"/>
    <n v="25"/>
    <n v="3"/>
    <n v="19"/>
    <n v="17"/>
    <n v="2"/>
    <n v="8"/>
  </r>
  <r>
    <x v="1"/>
    <s v="Travel_Rarely"/>
    <x v="1"/>
    <s v="Current Employees"/>
    <x v="0"/>
    <x v="0"/>
    <s v="STAFF-1557"/>
    <n v="1557"/>
    <x v="0"/>
    <x v="0"/>
    <x v="2"/>
    <s v="No"/>
    <s v="Y"/>
    <n v="2"/>
    <n v="-2"/>
    <n v="0"/>
    <n v="48"/>
    <n v="0"/>
    <m/>
    <n v="0"/>
    <n v="1"/>
    <n v="492"/>
    <n v="16"/>
    <x v="2"/>
    <n v="1"/>
    <n v="3"/>
    <n v="96"/>
    <n v="3"/>
    <n v="2"/>
    <n v="3"/>
    <n v="6439"/>
    <n v="13693"/>
    <n v="8"/>
    <n v="14"/>
    <n v="3"/>
    <n v="3"/>
    <n v="80"/>
    <n v="1"/>
    <n v="18"/>
    <n v="3"/>
    <n v="8"/>
    <n v="7"/>
    <n v="7"/>
    <n v="7"/>
  </r>
  <r>
    <x v="1"/>
    <s v="Travel_Rarely"/>
    <x v="2"/>
    <s v="Current Employees"/>
    <x v="0"/>
    <x v="3"/>
    <s v="STAFF-1428"/>
    <n v="1428"/>
    <x v="0"/>
    <x v="0"/>
    <x v="2"/>
    <s v="No"/>
    <s v="Y"/>
    <n v="3"/>
    <n v="-2"/>
    <n v="0"/>
    <n v="30"/>
    <n v="0"/>
    <m/>
    <n v="0"/>
    <n v="1"/>
    <n v="855"/>
    <n v="7"/>
    <x v="2"/>
    <n v="1"/>
    <n v="4"/>
    <n v="73"/>
    <n v="3"/>
    <n v="2"/>
    <n v="2"/>
    <n v="4779"/>
    <n v="12761"/>
    <n v="7"/>
    <n v="14"/>
    <n v="3"/>
    <n v="2"/>
    <n v="80"/>
    <n v="2"/>
    <n v="8"/>
    <n v="3"/>
    <n v="3"/>
    <n v="2"/>
    <n v="0"/>
    <n v="2"/>
  </r>
  <r>
    <x v="1"/>
    <s v="Travel_Rarely"/>
    <x v="1"/>
    <s v="Current Employees"/>
    <x v="0"/>
    <x v="0"/>
    <s v="STAFF-1676"/>
    <n v="1676"/>
    <x v="0"/>
    <x v="5"/>
    <x v="2"/>
    <s v="No"/>
    <s v="Y"/>
    <n v="2"/>
    <n v="-2"/>
    <n v="0"/>
    <n v="47"/>
    <n v="0"/>
    <m/>
    <n v="0"/>
    <n v="1"/>
    <n v="1225"/>
    <n v="2"/>
    <x v="2"/>
    <n v="1"/>
    <n v="2"/>
    <n v="47"/>
    <n v="4"/>
    <n v="4"/>
    <n v="2"/>
    <n v="15972"/>
    <n v="21086"/>
    <n v="6"/>
    <n v="14"/>
    <n v="3"/>
    <n v="3"/>
    <n v="80"/>
    <n v="3"/>
    <n v="29"/>
    <n v="3"/>
    <n v="3"/>
    <n v="2"/>
    <n v="1"/>
    <n v="2"/>
  </r>
  <r>
    <x v="1"/>
    <s v="Travel_Rarely"/>
    <x v="0"/>
    <s v="Current Employees"/>
    <x v="0"/>
    <x v="0"/>
    <s v="STAFF-2041"/>
    <n v="2041"/>
    <x v="0"/>
    <x v="0"/>
    <x v="1"/>
    <s v="No"/>
    <s v="Y"/>
    <n v="1"/>
    <n v="-2"/>
    <n v="0"/>
    <n v="38"/>
    <n v="0"/>
    <m/>
    <n v="0"/>
    <n v="1"/>
    <n v="345"/>
    <n v="10"/>
    <x v="0"/>
    <n v="1"/>
    <n v="1"/>
    <n v="100"/>
    <n v="3"/>
    <n v="2"/>
    <n v="4"/>
    <n v="5343"/>
    <n v="5982"/>
    <n v="1"/>
    <n v="11"/>
    <n v="3"/>
    <n v="3"/>
    <n v="80"/>
    <n v="1"/>
    <n v="10"/>
    <n v="3"/>
    <n v="10"/>
    <n v="7"/>
    <n v="1"/>
    <n v="9"/>
  </r>
  <r>
    <x v="1"/>
    <s v="Travel_Rarely"/>
    <x v="0"/>
    <s v="Current Employees"/>
    <x v="0"/>
    <x v="3"/>
    <s v="STAFF-2045"/>
    <n v="2045"/>
    <x v="0"/>
    <x v="0"/>
    <x v="1"/>
    <s v="No"/>
    <s v="Y"/>
    <n v="2"/>
    <n v="-2"/>
    <n v="0"/>
    <n v="36"/>
    <n v="0"/>
    <m/>
    <n v="0"/>
    <n v="1"/>
    <n v="1120"/>
    <n v="11"/>
    <x v="2"/>
    <n v="1"/>
    <n v="2"/>
    <n v="100"/>
    <n v="2"/>
    <n v="2"/>
    <n v="2"/>
    <n v="6652"/>
    <n v="14369"/>
    <n v="4"/>
    <n v="13"/>
    <n v="3"/>
    <n v="1"/>
    <n v="80"/>
    <n v="1"/>
    <n v="8"/>
    <n v="2"/>
    <n v="6"/>
    <n v="3"/>
    <n v="0"/>
    <n v="0"/>
  </r>
  <r>
    <x v="1"/>
    <s v="Travel_Rarely"/>
    <x v="0"/>
    <s v="Current Employees"/>
    <x v="0"/>
    <x v="3"/>
    <s v="STAFF-2056"/>
    <n v="2056"/>
    <x v="0"/>
    <x v="0"/>
    <x v="1"/>
    <s v="No"/>
    <s v="Y"/>
    <n v="2"/>
    <n v="-2"/>
    <n v="0"/>
    <n v="39"/>
    <n v="0"/>
    <m/>
    <n v="0"/>
    <n v="1"/>
    <n v="722"/>
    <n v="24"/>
    <x v="1"/>
    <n v="1"/>
    <n v="2"/>
    <n v="60"/>
    <n v="2"/>
    <n v="4"/>
    <n v="2"/>
    <n v="12031"/>
    <n v="8828"/>
    <n v="0"/>
    <n v="11"/>
    <n v="3"/>
    <n v="1"/>
    <n v="80"/>
    <n v="1"/>
    <n v="21"/>
    <n v="2"/>
    <n v="20"/>
    <n v="9"/>
    <n v="9"/>
    <n v="6"/>
  </r>
  <r>
    <x v="1"/>
    <s v="Travel_Rarely"/>
    <x v="0"/>
    <s v="Current Employees"/>
    <x v="0"/>
    <x v="3"/>
    <s v="STAFF-1986"/>
    <n v="1986"/>
    <x v="0"/>
    <x v="0"/>
    <x v="1"/>
    <s v="No"/>
    <s v="Y"/>
    <n v="4"/>
    <n v="-2"/>
    <n v="0"/>
    <n v="40"/>
    <n v="0"/>
    <m/>
    <n v="0"/>
    <n v="1"/>
    <n v="444"/>
    <n v="2"/>
    <x v="0"/>
    <n v="1"/>
    <n v="2"/>
    <n v="92"/>
    <n v="3"/>
    <n v="2"/>
    <n v="2"/>
    <n v="5677"/>
    <n v="4258"/>
    <n v="3"/>
    <n v="14"/>
    <n v="3"/>
    <n v="3"/>
    <n v="80"/>
    <n v="1"/>
    <n v="15"/>
    <n v="3"/>
    <n v="11"/>
    <n v="8"/>
    <n v="5"/>
    <n v="10"/>
  </r>
  <r>
    <x v="1"/>
    <s v="Travel_Rarely"/>
    <x v="2"/>
    <s v="Current Employees"/>
    <x v="0"/>
    <x v="2"/>
    <s v="STAFF-1875"/>
    <n v="1875"/>
    <x v="0"/>
    <x v="6"/>
    <x v="1"/>
    <s v="No"/>
    <s v="Y"/>
    <n v="3"/>
    <n v="-2"/>
    <n v="0"/>
    <n v="28"/>
    <n v="0"/>
    <m/>
    <n v="0"/>
    <n v="1"/>
    <n v="1172"/>
    <n v="3"/>
    <x v="3"/>
    <n v="1"/>
    <n v="2"/>
    <n v="78"/>
    <n v="3"/>
    <n v="1"/>
    <n v="2"/>
    <n v="2856"/>
    <n v="3692"/>
    <n v="1"/>
    <n v="19"/>
    <n v="3"/>
    <n v="4"/>
    <n v="80"/>
    <n v="1"/>
    <n v="1"/>
    <n v="3"/>
    <n v="1"/>
    <n v="0"/>
    <n v="0"/>
    <n v="0"/>
  </r>
  <r>
    <x v="1"/>
    <s v="Travel_Rarely"/>
    <x v="1"/>
    <s v="Current Employees"/>
    <x v="0"/>
    <x v="0"/>
    <s v="STAFF-1527"/>
    <n v="1527"/>
    <x v="0"/>
    <x v="5"/>
    <x v="1"/>
    <s v="No"/>
    <s v="Y"/>
    <n v="2"/>
    <n v="-2"/>
    <n v="0"/>
    <n v="46"/>
    <n v="0"/>
    <m/>
    <n v="0"/>
    <n v="1"/>
    <n v="228"/>
    <n v="3"/>
    <x v="3"/>
    <n v="1"/>
    <n v="3"/>
    <n v="51"/>
    <n v="3"/>
    <n v="4"/>
    <n v="2"/>
    <n v="16606"/>
    <n v="11380"/>
    <n v="8"/>
    <n v="12"/>
    <n v="3"/>
    <n v="4"/>
    <n v="80"/>
    <n v="1"/>
    <n v="23"/>
    <n v="4"/>
    <n v="13"/>
    <n v="12"/>
    <n v="5"/>
    <n v="1"/>
  </r>
  <r>
    <x v="1"/>
    <s v="Travel_Rarely"/>
    <x v="3"/>
    <s v="Current Employees"/>
    <x v="0"/>
    <x v="3"/>
    <s v="STAFF-1935"/>
    <n v="1935"/>
    <x v="0"/>
    <x v="0"/>
    <x v="1"/>
    <s v="No"/>
    <s v="Y"/>
    <n v="3"/>
    <n v="-2"/>
    <n v="0"/>
    <n v="56"/>
    <n v="0"/>
    <m/>
    <n v="0"/>
    <n v="1"/>
    <n v="1443"/>
    <n v="11"/>
    <x v="4"/>
    <n v="1"/>
    <n v="4"/>
    <n v="89"/>
    <n v="2"/>
    <n v="2"/>
    <n v="2"/>
    <n v="5380"/>
    <n v="20328"/>
    <n v="4"/>
    <n v="16"/>
    <n v="3"/>
    <n v="3"/>
    <n v="80"/>
    <n v="1"/>
    <n v="6"/>
    <n v="3"/>
    <n v="0"/>
    <n v="0"/>
    <n v="0"/>
    <n v="0"/>
  </r>
  <r>
    <x v="1"/>
    <s v="Travel_Rarely"/>
    <x v="0"/>
    <s v="Current Employees"/>
    <x v="0"/>
    <x v="0"/>
    <s v="STAFF-1598"/>
    <n v="1598"/>
    <x v="0"/>
    <x v="0"/>
    <x v="1"/>
    <s v="No"/>
    <s v="Y"/>
    <n v="2"/>
    <n v="-2"/>
    <n v="0"/>
    <n v="40"/>
    <n v="0"/>
    <m/>
    <n v="0"/>
    <n v="1"/>
    <n v="118"/>
    <n v="14"/>
    <x v="0"/>
    <n v="1"/>
    <n v="4"/>
    <n v="84"/>
    <n v="3"/>
    <n v="2"/>
    <n v="3"/>
    <n v="4639"/>
    <n v="11262"/>
    <n v="1"/>
    <n v="15"/>
    <n v="3"/>
    <n v="3"/>
    <n v="80"/>
    <n v="1"/>
    <n v="5"/>
    <n v="3"/>
    <n v="5"/>
    <n v="4"/>
    <n v="1"/>
    <n v="2"/>
  </r>
  <r>
    <x v="1"/>
    <s v="Travel_Rarely"/>
    <x v="2"/>
    <s v="Current Employees"/>
    <x v="0"/>
    <x v="3"/>
    <s v="STAFF-1784"/>
    <n v="1784"/>
    <x v="0"/>
    <x v="0"/>
    <x v="1"/>
    <s v="No"/>
    <s v="Y"/>
    <n v="3"/>
    <n v="-2"/>
    <n v="0"/>
    <n v="31"/>
    <n v="0"/>
    <m/>
    <n v="0"/>
    <n v="1"/>
    <n v="196"/>
    <n v="29"/>
    <x v="2"/>
    <n v="1"/>
    <n v="1"/>
    <n v="91"/>
    <n v="2"/>
    <n v="2"/>
    <n v="2"/>
    <n v="5468"/>
    <n v="13402"/>
    <n v="1"/>
    <n v="14"/>
    <n v="3"/>
    <n v="1"/>
    <n v="80"/>
    <n v="2"/>
    <n v="13"/>
    <n v="3"/>
    <n v="12"/>
    <n v="7"/>
    <n v="5"/>
    <n v="7"/>
  </r>
  <r>
    <x v="1"/>
    <s v="Travel_Rarely"/>
    <x v="0"/>
    <s v="Current Employees"/>
    <x v="0"/>
    <x v="2"/>
    <s v="STAFF-2024"/>
    <n v="2024"/>
    <x v="0"/>
    <x v="0"/>
    <x v="1"/>
    <s v="No"/>
    <s v="Y"/>
    <n v="2"/>
    <n v="-2"/>
    <n v="0"/>
    <n v="36"/>
    <n v="0"/>
    <m/>
    <n v="0"/>
    <n v="1"/>
    <n v="557"/>
    <n v="3"/>
    <x v="3"/>
    <n v="1"/>
    <n v="1"/>
    <n v="94"/>
    <n v="2"/>
    <n v="3"/>
    <n v="4"/>
    <n v="7644"/>
    <n v="12695"/>
    <n v="0"/>
    <n v="19"/>
    <n v="3"/>
    <n v="3"/>
    <n v="80"/>
    <n v="2"/>
    <n v="10"/>
    <n v="3"/>
    <n v="9"/>
    <n v="7"/>
    <n v="3"/>
    <n v="4"/>
  </r>
  <r>
    <x v="1"/>
    <s v="Travel_Rarely"/>
    <x v="2"/>
    <s v="Current Employees"/>
    <x v="0"/>
    <x v="0"/>
    <s v="STAFF-1673"/>
    <n v="1673"/>
    <x v="0"/>
    <x v="0"/>
    <x v="1"/>
    <s v="No"/>
    <s v="Y"/>
    <n v="2"/>
    <n v="-2"/>
    <n v="0"/>
    <n v="31"/>
    <n v="0"/>
    <m/>
    <n v="0"/>
    <n v="1"/>
    <n v="1112"/>
    <n v="5"/>
    <x v="2"/>
    <n v="1"/>
    <n v="1"/>
    <n v="67"/>
    <n v="3"/>
    <n v="2"/>
    <n v="4"/>
    <n v="5476"/>
    <n v="22589"/>
    <n v="1"/>
    <n v="11"/>
    <n v="3"/>
    <n v="1"/>
    <n v="80"/>
    <n v="2"/>
    <n v="10"/>
    <n v="3"/>
    <n v="10"/>
    <n v="0"/>
    <n v="0"/>
    <n v="2"/>
  </r>
  <r>
    <x v="1"/>
    <s v="Travel_Rarely"/>
    <x v="0"/>
    <s v="Current Employees"/>
    <x v="0"/>
    <x v="3"/>
    <s v="STAFF-1436"/>
    <n v="1436"/>
    <x v="0"/>
    <x v="0"/>
    <x v="1"/>
    <s v="No"/>
    <s v="Y"/>
    <n v="3"/>
    <n v="-2"/>
    <n v="0"/>
    <n v="36"/>
    <n v="0"/>
    <m/>
    <n v="0"/>
    <n v="1"/>
    <n v="329"/>
    <n v="16"/>
    <x v="2"/>
    <n v="1"/>
    <n v="3"/>
    <n v="98"/>
    <n v="2"/>
    <n v="2"/>
    <n v="2"/>
    <n v="5647"/>
    <n v="13494"/>
    <n v="4"/>
    <n v="13"/>
    <n v="3"/>
    <n v="1"/>
    <n v="80"/>
    <n v="2"/>
    <n v="11"/>
    <n v="2"/>
    <n v="3"/>
    <n v="2"/>
    <n v="0"/>
    <n v="2"/>
  </r>
  <r>
    <x v="1"/>
    <s v="Travel_Rarely"/>
    <x v="2"/>
    <s v="Current Employees"/>
    <x v="0"/>
    <x v="3"/>
    <s v="STAFF-2016"/>
    <n v="2016"/>
    <x v="0"/>
    <x v="0"/>
    <x v="1"/>
    <s v="No"/>
    <s v="Y"/>
    <n v="3"/>
    <n v="-2"/>
    <n v="0"/>
    <n v="32"/>
    <n v="0"/>
    <m/>
    <n v="0"/>
    <n v="1"/>
    <n v="801"/>
    <n v="1"/>
    <x v="2"/>
    <n v="1"/>
    <n v="3"/>
    <n v="48"/>
    <n v="3"/>
    <n v="3"/>
    <n v="2"/>
    <n v="10422"/>
    <n v="24032"/>
    <n v="1"/>
    <n v="19"/>
    <n v="3"/>
    <n v="3"/>
    <n v="80"/>
    <n v="2"/>
    <n v="14"/>
    <n v="3"/>
    <n v="14"/>
    <n v="10"/>
    <n v="5"/>
    <n v="7"/>
  </r>
  <r>
    <x v="1"/>
    <s v="Travel_Rarely"/>
    <x v="2"/>
    <s v="Current Employees"/>
    <x v="0"/>
    <x v="2"/>
    <s v="STAFF-1898"/>
    <n v="1898"/>
    <x v="0"/>
    <x v="0"/>
    <x v="0"/>
    <s v="No"/>
    <s v="Y"/>
    <n v="5"/>
    <n v="-2"/>
    <n v="0"/>
    <n v="27"/>
    <n v="0"/>
    <m/>
    <n v="0"/>
    <n v="1"/>
    <n v="511"/>
    <n v="2"/>
    <x v="0"/>
    <n v="1"/>
    <n v="1"/>
    <n v="89"/>
    <n v="4"/>
    <n v="2"/>
    <n v="3"/>
    <n v="6500"/>
    <n v="26997"/>
    <n v="0"/>
    <n v="14"/>
    <n v="3"/>
    <n v="2"/>
    <n v="80"/>
    <n v="0"/>
    <n v="9"/>
    <n v="2"/>
    <n v="8"/>
    <n v="7"/>
    <n v="0"/>
    <n v="7"/>
  </r>
  <r>
    <x v="1"/>
    <s v="Travel_Rarely"/>
    <x v="0"/>
    <s v="Current Employees"/>
    <x v="0"/>
    <x v="0"/>
    <s v="STAFF-1583"/>
    <n v="1583"/>
    <x v="0"/>
    <x v="0"/>
    <x v="0"/>
    <s v="No"/>
    <s v="Y"/>
    <n v="5"/>
    <n v="-2"/>
    <n v="0"/>
    <n v="38"/>
    <n v="0"/>
    <m/>
    <n v="0"/>
    <n v="1"/>
    <n v="437"/>
    <n v="16"/>
    <x v="3"/>
    <n v="1"/>
    <n v="2"/>
    <n v="90"/>
    <n v="3"/>
    <n v="2"/>
    <n v="2"/>
    <n v="4198"/>
    <n v="16379"/>
    <n v="2"/>
    <n v="12"/>
    <n v="3"/>
    <n v="2"/>
    <n v="80"/>
    <n v="0"/>
    <n v="8"/>
    <n v="4"/>
    <n v="3"/>
    <n v="2"/>
    <n v="1"/>
    <n v="2"/>
  </r>
  <r>
    <x v="1"/>
    <s v="Travel_Rarely"/>
    <x v="0"/>
    <s v="Current Employees"/>
    <x v="0"/>
    <x v="0"/>
    <s v="STAFF-1585"/>
    <n v="1585"/>
    <x v="0"/>
    <x v="0"/>
    <x v="0"/>
    <s v="No"/>
    <s v="Y"/>
    <n v="5"/>
    <n v="-2"/>
    <n v="0"/>
    <n v="36"/>
    <n v="0"/>
    <m/>
    <n v="0"/>
    <n v="1"/>
    <n v="884"/>
    <n v="1"/>
    <x v="2"/>
    <n v="1"/>
    <n v="2"/>
    <n v="73"/>
    <n v="3"/>
    <n v="2"/>
    <n v="3"/>
    <n v="6815"/>
    <n v="21447"/>
    <n v="6"/>
    <n v="13"/>
    <n v="3"/>
    <n v="1"/>
    <n v="80"/>
    <n v="0"/>
    <n v="15"/>
    <n v="3"/>
    <n v="1"/>
    <n v="0"/>
    <n v="0"/>
    <n v="0"/>
  </r>
  <r>
    <x v="1"/>
    <s v="Travel_Rarely"/>
    <x v="4"/>
    <s v="Current Employees"/>
    <x v="0"/>
    <x v="2"/>
    <s v="STAFF-1657"/>
    <n v="1657"/>
    <x v="0"/>
    <x v="6"/>
    <x v="0"/>
    <s v="No"/>
    <s v="Y"/>
    <n v="3"/>
    <n v="-2"/>
    <n v="0"/>
    <n v="20"/>
    <n v="0"/>
    <m/>
    <n v="0"/>
    <n v="1"/>
    <n v="1141"/>
    <n v="2"/>
    <x v="3"/>
    <n v="1"/>
    <n v="3"/>
    <n v="31"/>
    <n v="3"/>
    <n v="1"/>
    <n v="3"/>
    <n v="2783"/>
    <n v="13251"/>
    <n v="1"/>
    <n v="19"/>
    <n v="3"/>
    <n v="1"/>
    <n v="80"/>
    <n v="0"/>
    <n v="2"/>
    <n v="3"/>
    <n v="2"/>
    <n v="2"/>
    <n v="2"/>
    <n v="2"/>
  </r>
  <r>
    <x v="1"/>
    <s v="Travel_Rarely"/>
    <x v="0"/>
    <s v="Current Employees"/>
    <x v="0"/>
    <x v="0"/>
    <s v="STAFF-1710"/>
    <n v="1710"/>
    <x v="0"/>
    <x v="6"/>
    <x v="0"/>
    <s v="No"/>
    <s v="Y"/>
    <n v="2"/>
    <n v="-2"/>
    <n v="0"/>
    <n v="36"/>
    <n v="0"/>
    <m/>
    <n v="0"/>
    <n v="1"/>
    <n v="530"/>
    <n v="2"/>
    <x v="2"/>
    <n v="1"/>
    <n v="3"/>
    <n v="51"/>
    <n v="3"/>
    <n v="2"/>
    <n v="4"/>
    <n v="4502"/>
    <n v="7439"/>
    <n v="3"/>
    <n v="15"/>
    <n v="3"/>
    <n v="3"/>
    <n v="80"/>
    <n v="0"/>
    <n v="17"/>
    <n v="2"/>
    <n v="13"/>
    <n v="7"/>
    <n v="6"/>
    <n v="7"/>
  </r>
  <r>
    <x v="1"/>
    <s v="Travel_Rarely"/>
    <x v="2"/>
    <s v="Current Employees"/>
    <x v="0"/>
    <x v="0"/>
    <s v="STAFF-1779"/>
    <n v="1779"/>
    <x v="0"/>
    <x v="0"/>
    <x v="0"/>
    <s v="No"/>
    <s v="Y"/>
    <n v="3"/>
    <n v="-2"/>
    <n v="0"/>
    <n v="34"/>
    <n v="0"/>
    <m/>
    <n v="0"/>
    <n v="1"/>
    <n v="511"/>
    <n v="3"/>
    <x v="0"/>
    <n v="1"/>
    <n v="4"/>
    <n v="32"/>
    <n v="1"/>
    <n v="2"/>
    <n v="4"/>
    <n v="6029"/>
    <n v="25353"/>
    <n v="5"/>
    <n v="12"/>
    <n v="3"/>
    <n v="1"/>
    <n v="80"/>
    <n v="0"/>
    <n v="6"/>
    <n v="3"/>
    <n v="2"/>
    <n v="2"/>
    <n v="2"/>
    <n v="2"/>
  </r>
  <r>
    <x v="1"/>
    <s v="Travel_Rarely"/>
    <x v="2"/>
    <s v="Current Employees"/>
    <x v="0"/>
    <x v="1"/>
    <s v="STAFF-2060"/>
    <n v="2060"/>
    <x v="0"/>
    <x v="6"/>
    <x v="0"/>
    <s v="No"/>
    <s v="Y"/>
    <n v="2"/>
    <n v="-2"/>
    <n v="0"/>
    <n v="26"/>
    <n v="0"/>
    <m/>
    <n v="0"/>
    <n v="1"/>
    <n v="1167"/>
    <n v="5"/>
    <x v="3"/>
    <n v="1"/>
    <n v="4"/>
    <n v="30"/>
    <n v="2"/>
    <n v="1"/>
    <n v="3"/>
    <n v="2966"/>
    <n v="21378"/>
    <n v="0"/>
    <n v="18"/>
    <n v="3"/>
    <n v="4"/>
    <n v="80"/>
    <n v="0"/>
    <n v="5"/>
    <n v="3"/>
    <n v="4"/>
    <n v="2"/>
    <n v="0"/>
    <n v="0"/>
  </r>
  <r>
    <x v="1"/>
    <s v="Travel_Rarely"/>
    <x v="1"/>
    <s v="Current Employees"/>
    <x v="0"/>
    <x v="0"/>
    <s v="STAFF-2046"/>
    <n v="2046"/>
    <x v="0"/>
    <x v="0"/>
    <x v="0"/>
    <s v="No"/>
    <s v="Y"/>
    <n v="3"/>
    <n v="-2"/>
    <n v="0"/>
    <n v="45"/>
    <n v="0"/>
    <m/>
    <n v="0"/>
    <n v="1"/>
    <n v="374"/>
    <n v="20"/>
    <x v="3"/>
    <n v="1"/>
    <n v="4"/>
    <n v="50"/>
    <n v="3"/>
    <n v="2"/>
    <n v="3"/>
    <n v="4850"/>
    <n v="23333"/>
    <n v="8"/>
    <n v="15"/>
    <n v="3"/>
    <n v="3"/>
    <n v="80"/>
    <n v="0"/>
    <n v="8"/>
    <n v="3"/>
    <n v="5"/>
    <n v="3"/>
    <n v="0"/>
    <n v="1"/>
  </r>
  <r>
    <x v="1"/>
    <s v="Travel_Rarely"/>
    <x v="1"/>
    <s v="Current Employees"/>
    <x v="0"/>
    <x v="3"/>
    <s v="STAFF-1757"/>
    <n v="1757"/>
    <x v="0"/>
    <x v="0"/>
    <x v="0"/>
    <s v="No"/>
    <s v="Y"/>
    <n v="1"/>
    <n v="-2"/>
    <n v="0"/>
    <n v="49"/>
    <n v="0"/>
    <m/>
    <n v="0"/>
    <n v="1"/>
    <n v="1313"/>
    <n v="11"/>
    <x v="2"/>
    <n v="1"/>
    <n v="4"/>
    <n v="80"/>
    <n v="3"/>
    <n v="2"/>
    <n v="2"/>
    <n v="4507"/>
    <n v="8191"/>
    <n v="3"/>
    <n v="12"/>
    <n v="3"/>
    <n v="3"/>
    <n v="80"/>
    <n v="0"/>
    <n v="8"/>
    <n v="4"/>
    <n v="5"/>
    <n v="1"/>
    <n v="0"/>
    <n v="4"/>
  </r>
  <r>
    <x v="1"/>
    <s v="Non-Travel"/>
    <x v="2"/>
    <s v="Current Employees"/>
    <x v="2"/>
    <x v="0"/>
    <s v="STAFF-1858"/>
    <n v="1858"/>
    <x v="1"/>
    <x v="8"/>
    <x v="2"/>
    <s v="No"/>
    <s v="Y"/>
    <n v="2"/>
    <n v="-2"/>
    <n v="0"/>
    <n v="28"/>
    <n v="0"/>
    <m/>
    <n v="0"/>
    <n v="1"/>
    <n v="280"/>
    <n v="1"/>
    <x v="0"/>
    <n v="1"/>
    <n v="3"/>
    <n v="43"/>
    <n v="3"/>
    <n v="1"/>
    <n v="4"/>
    <n v="2706"/>
    <n v="10494"/>
    <n v="1"/>
    <n v="15"/>
    <n v="3"/>
    <n v="2"/>
    <n v="80"/>
    <n v="1"/>
    <n v="3"/>
    <n v="3"/>
    <n v="3"/>
    <n v="2"/>
    <n v="2"/>
    <n v="2"/>
  </r>
  <r>
    <x v="1"/>
    <s v="Non-Travel"/>
    <x v="0"/>
    <s v="Current Employees"/>
    <x v="2"/>
    <x v="5"/>
    <s v="STAFF-1805"/>
    <n v="1805"/>
    <x v="1"/>
    <x v="8"/>
    <x v="2"/>
    <s v="No"/>
    <s v="Y"/>
    <n v="3"/>
    <n v="-2"/>
    <n v="0"/>
    <n v="38"/>
    <n v="0"/>
    <m/>
    <n v="0"/>
    <n v="1"/>
    <n v="1336"/>
    <n v="2"/>
    <x v="3"/>
    <n v="1"/>
    <n v="1"/>
    <n v="100"/>
    <n v="3"/>
    <n v="1"/>
    <n v="2"/>
    <n v="2592"/>
    <n v="7129"/>
    <n v="5"/>
    <n v="13"/>
    <n v="3"/>
    <n v="4"/>
    <n v="80"/>
    <n v="3"/>
    <n v="13"/>
    <n v="3"/>
    <n v="11"/>
    <n v="10"/>
    <n v="3"/>
    <n v="8"/>
  </r>
  <r>
    <x v="1"/>
    <s v="Non-Travel"/>
    <x v="0"/>
    <s v="Current Employees"/>
    <x v="2"/>
    <x v="5"/>
    <s v="STAFF-1722"/>
    <n v="1722"/>
    <x v="1"/>
    <x v="8"/>
    <x v="1"/>
    <s v="No"/>
    <s v="Y"/>
    <n v="4"/>
    <n v="-2"/>
    <n v="0"/>
    <n v="41"/>
    <n v="0"/>
    <m/>
    <n v="0"/>
    <n v="1"/>
    <n v="552"/>
    <n v="4"/>
    <x v="3"/>
    <n v="1"/>
    <n v="3"/>
    <n v="60"/>
    <n v="1"/>
    <n v="2"/>
    <n v="2"/>
    <n v="6430"/>
    <n v="20794"/>
    <n v="6"/>
    <n v="19"/>
    <n v="3"/>
    <n v="2"/>
    <n v="80"/>
    <n v="1"/>
    <n v="10"/>
    <n v="3"/>
    <n v="3"/>
    <n v="2"/>
    <n v="1"/>
    <n v="2"/>
  </r>
  <r>
    <x v="1"/>
    <s v="Non-Travel"/>
    <x v="0"/>
    <s v="Current Employees"/>
    <x v="1"/>
    <x v="2"/>
    <s v="STAFF-1804"/>
    <n v="1804"/>
    <x v="1"/>
    <x v="3"/>
    <x v="2"/>
    <s v="No"/>
    <s v="Y"/>
    <n v="6"/>
    <n v="-2"/>
    <n v="0"/>
    <n v="35"/>
    <n v="0"/>
    <m/>
    <n v="0"/>
    <n v="1"/>
    <n v="1180"/>
    <n v="2"/>
    <x v="0"/>
    <n v="1"/>
    <n v="2"/>
    <n v="90"/>
    <n v="3"/>
    <n v="2"/>
    <n v="4"/>
    <n v="5762"/>
    <n v="24442"/>
    <n v="2"/>
    <n v="14"/>
    <n v="3"/>
    <n v="3"/>
    <n v="80"/>
    <n v="1"/>
    <n v="15"/>
    <n v="3"/>
    <n v="7"/>
    <n v="7"/>
    <n v="1"/>
    <n v="7"/>
  </r>
  <r>
    <x v="1"/>
    <s v="Non-Travel"/>
    <x v="0"/>
    <s v="Current Employees"/>
    <x v="1"/>
    <x v="2"/>
    <s v="STAFF-1468"/>
    <n v="1468"/>
    <x v="1"/>
    <x v="7"/>
    <x v="2"/>
    <s v="No"/>
    <s v="Y"/>
    <n v="5"/>
    <n v="-2"/>
    <n v="0"/>
    <n v="40"/>
    <n v="0"/>
    <m/>
    <n v="0"/>
    <n v="1"/>
    <n v="218"/>
    <n v="8"/>
    <x v="1"/>
    <n v="1"/>
    <n v="4"/>
    <n v="55"/>
    <n v="2"/>
    <n v="3"/>
    <n v="2"/>
    <n v="13757"/>
    <n v="25178"/>
    <n v="2"/>
    <n v="11"/>
    <n v="3"/>
    <n v="3"/>
    <n v="80"/>
    <n v="1"/>
    <n v="16"/>
    <n v="3"/>
    <n v="9"/>
    <n v="8"/>
    <n v="4"/>
    <n v="8"/>
  </r>
  <r>
    <x v="1"/>
    <s v="Non-Travel"/>
    <x v="2"/>
    <s v="Current Employees"/>
    <x v="1"/>
    <x v="4"/>
    <s v="STAFF-1482"/>
    <n v="1482"/>
    <x v="1"/>
    <x v="1"/>
    <x v="2"/>
    <s v="No"/>
    <s v="Y"/>
    <n v="2"/>
    <n v="-2"/>
    <n v="0"/>
    <n v="30"/>
    <n v="0"/>
    <m/>
    <n v="0"/>
    <n v="1"/>
    <n v="990"/>
    <n v="7"/>
    <x v="3"/>
    <n v="1"/>
    <n v="4"/>
    <n v="64"/>
    <n v="3"/>
    <n v="1"/>
    <n v="4"/>
    <n v="1274"/>
    <n v="7152"/>
    <n v="1"/>
    <n v="13"/>
    <n v="3"/>
    <n v="2"/>
    <n v="80"/>
    <n v="2"/>
    <n v="1"/>
    <n v="2"/>
    <n v="1"/>
    <n v="0"/>
    <n v="0"/>
    <n v="0"/>
  </r>
  <r>
    <x v="1"/>
    <s v="Non-Travel"/>
    <x v="0"/>
    <s v="Current Employees"/>
    <x v="1"/>
    <x v="1"/>
    <s v="STAFF-1449"/>
    <n v="1449"/>
    <x v="1"/>
    <x v="2"/>
    <x v="2"/>
    <s v="No"/>
    <s v="Y"/>
    <n v="2"/>
    <n v="-2"/>
    <n v="0"/>
    <n v="40"/>
    <n v="0"/>
    <m/>
    <n v="0"/>
    <n v="1"/>
    <n v="663"/>
    <n v="9"/>
    <x v="2"/>
    <n v="1"/>
    <n v="3"/>
    <n v="81"/>
    <n v="3"/>
    <n v="2"/>
    <n v="3"/>
    <n v="3975"/>
    <n v="23099"/>
    <n v="3"/>
    <n v="11"/>
    <n v="3"/>
    <n v="3"/>
    <n v="80"/>
    <n v="2"/>
    <n v="11"/>
    <n v="4"/>
    <n v="8"/>
    <n v="7"/>
    <n v="0"/>
    <n v="7"/>
  </r>
  <r>
    <x v="1"/>
    <s v="Non-Travel"/>
    <x v="2"/>
    <s v="Current Employees"/>
    <x v="1"/>
    <x v="4"/>
    <s v="STAFF-1771"/>
    <n v="1771"/>
    <x v="1"/>
    <x v="1"/>
    <x v="2"/>
    <s v="No"/>
    <s v="Y"/>
    <n v="2"/>
    <n v="-2"/>
    <n v="0"/>
    <n v="33"/>
    <n v="0"/>
    <m/>
    <n v="0"/>
    <n v="1"/>
    <n v="775"/>
    <n v="4"/>
    <x v="3"/>
    <n v="1"/>
    <n v="4"/>
    <n v="90"/>
    <n v="3"/>
    <n v="2"/>
    <n v="4"/>
    <n v="3055"/>
    <n v="6194"/>
    <n v="5"/>
    <n v="15"/>
    <n v="3"/>
    <n v="4"/>
    <n v="80"/>
    <n v="2"/>
    <n v="11"/>
    <n v="2"/>
    <n v="9"/>
    <n v="8"/>
    <n v="1"/>
    <n v="7"/>
  </r>
  <r>
    <x v="1"/>
    <s v="Non-Travel"/>
    <x v="2"/>
    <s v="Current Employees"/>
    <x v="1"/>
    <x v="2"/>
    <s v="STAFF-1994"/>
    <n v="1994"/>
    <x v="1"/>
    <x v="2"/>
    <x v="2"/>
    <s v="No"/>
    <s v="Y"/>
    <n v="2"/>
    <n v="-2"/>
    <n v="0"/>
    <n v="33"/>
    <n v="0"/>
    <m/>
    <n v="0"/>
    <n v="1"/>
    <n v="1313"/>
    <n v="1"/>
    <x v="0"/>
    <n v="1"/>
    <n v="2"/>
    <n v="59"/>
    <n v="2"/>
    <n v="1"/>
    <n v="3"/>
    <n v="2008"/>
    <n v="20439"/>
    <n v="1"/>
    <n v="12"/>
    <n v="3"/>
    <n v="3"/>
    <n v="80"/>
    <n v="3"/>
    <n v="1"/>
    <n v="2"/>
    <n v="1"/>
    <n v="1"/>
    <n v="0"/>
    <n v="0"/>
  </r>
  <r>
    <x v="1"/>
    <s v="Non-Travel"/>
    <x v="1"/>
    <s v="Current Employees"/>
    <x v="1"/>
    <x v="4"/>
    <s v="STAFF-1934"/>
    <n v="1934"/>
    <x v="1"/>
    <x v="1"/>
    <x v="1"/>
    <s v="No"/>
    <s v="Y"/>
    <n v="4"/>
    <n v="-2"/>
    <n v="0"/>
    <n v="47"/>
    <n v="0"/>
    <m/>
    <n v="0"/>
    <n v="1"/>
    <n v="1169"/>
    <n v="14"/>
    <x v="2"/>
    <n v="1"/>
    <n v="4"/>
    <n v="64"/>
    <n v="3"/>
    <n v="2"/>
    <n v="4"/>
    <n v="5467"/>
    <n v="2125"/>
    <n v="8"/>
    <n v="18"/>
    <n v="3"/>
    <n v="3"/>
    <n v="80"/>
    <n v="1"/>
    <n v="16"/>
    <n v="4"/>
    <n v="8"/>
    <n v="7"/>
    <n v="1"/>
    <n v="7"/>
  </r>
  <r>
    <x v="1"/>
    <s v="Non-Travel"/>
    <x v="2"/>
    <s v="Current Employees"/>
    <x v="1"/>
    <x v="4"/>
    <s v="STAFF-1574"/>
    <n v="1574"/>
    <x v="1"/>
    <x v="1"/>
    <x v="1"/>
    <s v="No"/>
    <s v="Y"/>
    <n v="3"/>
    <n v="-2"/>
    <n v="0"/>
    <n v="32"/>
    <n v="0"/>
    <m/>
    <n v="0"/>
    <n v="1"/>
    <n v="1200"/>
    <n v="1"/>
    <x v="2"/>
    <n v="1"/>
    <n v="4"/>
    <n v="62"/>
    <n v="3"/>
    <n v="2"/>
    <n v="4"/>
    <n v="4087"/>
    <n v="25174"/>
    <n v="4"/>
    <n v="14"/>
    <n v="3"/>
    <n v="2"/>
    <n v="80"/>
    <n v="1"/>
    <n v="9"/>
    <n v="2"/>
    <n v="6"/>
    <n v="5"/>
    <n v="1"/>
    <n v="2"/>
  </r>
  <r>
    <x v="1"/>
    <s v="Non-Travel"/>
    <x v="0"/>
    <s v="Current Employees"/>
    <x v="1"/>
    <x v="0"/>
    <s v="STAFF-1813"/>
    <n v="1813"/>
    <x v="1"/>
    <x v="1"/>
    <x v="0"/>
    <s v="No"/>
    <s v="Y"/>
    <n v="2"/>
    <n v="-2"/>
    <n v="0"/>
    <n v="43"/>
    <n v="0"/>
    <m/>
    <n v="0"/>
    <n v="1"/>
    <n v="343"/>
    <n v="9"/>
    <x v="3"/>
    <n v="1"/>
    <n v="1"/>
    <n v="52"/>
    <n v="3"/>
    <n v="1"/>
    <n v="3"/>
    <n v="2438"/>
    <n v="24978"/>
    <n v="4"/>
    <n v="13"/>
    <n v="3"/>
    <n v="3"/>
    <n v="80"/>
    <n v="0"/>
    <n v="7"/>
    <n v="2"/>
    <n v="3"/>
    <n v="2"/>
    <n v="1"/>
    <n v="2"/>
  </r>
  <r>
    <x v="1"/>
    <s v="Non-Travel"/>
    <x v="2"/>
    <s v="Current Employees"/>
    <x v="1"/>
    <x v="2"/>
    <s v="STAFF-2057"/>
    <n v="2057"/>
    <x v="1"/>
    <x v="3"/>
    <x v="0"/>
    <s v="No"/>
    <s v="Y"/>
    <n v="2"/>
    <n v="-2"/>
    <n v="0"/>
    <n v="31"/>
    <n v="0"/>
    <m/>
    <n v="0"/>
    <n v="1"/>
    <n v="325"/>
    <n v="5"/>
    <x v="3"/>
    <n v="1"/>
    <n v="2"/>
    <n v="74"/>
    <n v="3"/>
    <n v="2"/>
    <n v="3"/>
    <n v="9936"/>
    <n v="3787"/>
    <n v="0"/>
    <n v="19"/>
    <n v="3"/>
    <n v="2"/>
    <n v="80"/>
    <n v="0"/>
    <n v="10"/>
    <n v="3"/>
    <n v="9"/>
    <n v="4"/>
    <n v="1"/>
    <n v="7"/>
  </r>
  <r>
    <x v="1"/>
    <s v="Non-Travel"/>
    <x v="2"/>
    <s v="Current Employees"/>
    <x v="1"/>
    <x v="4"/>
    <s v="STAFF-1764"/>
    <n v="1764"/>
    <x v="1"/>
    <x v="1"/>
    <x v="0"/>
    <s v="No"/>
    <s v="Y"/>
    <n v="3"/>
    <n v="-2"/>
    <n v="0"/>
    <n v="32"/>
    <n v="0"/>
    <m/>
    <n v="0"/>
    <n v="1"/>
    <n v="953"/>
    <n v="5"/>
    <x v="2"/>
    <n v="1"/>
    <n v="4"/>
    <n v="65"/>
    <n v="3"/>
    <n v="1"/>
    <n v="4"/>
    <n v="2718"/>
    <n v="17674"/>
    <n v="2"/>
    <n v="14"/>
    <n v="3"/>
    <n v="2"/>
    <n v="80"/>
    <n v="0"/>
    <n v="12"/>
    <n v="3"/>
    <n v="7"/>
    <n v="7"/>
    <n v="0"/>
    <n v="7"/>
  </r>
  <r>
    <x v="1"/>
    <s v="Non-Travel"/>
    <x v="0"/>
    <s v="Current Employees"/>
    <x v="1"/>
    <x v="0"/>
    <s v="STAFF-1471"/>
    <n v="1471"/>
    <x v="1"/>
    <x v="2"/>
    <x v="0"/>
    <s v="No"/>
    <s v="Y"/>
    <n v="5"/>
    <n v="-2"/>
    <n v="0"/>
    <n v="44"/>
    <n v="0"/>
    <m/>
    <n v="0"/>
    <n v="1"/>
    <n v="981"/>
    <n v="5"/>
    <x v="3"/>
    <n v="1"/>
    <n v="3"/>
    <n v="90"/>
    <n v="2"/>
    <n v="1"/>
    <n v="3"/>
    <n v="3162"/>
    <n v="7973"/>
    <n v="3"/>
    <n v="14"/>
    <n v="3"/>
    <n v="4"/>
    <n v="80"/>
    <n v="0"/>
    <n v="7"/>
    <n v="3"/>
    <n v="5"/>
    <n v="2"/>
    <n v="0"/>
    <n v="3"/>
  </r>
  <r>
    <x v="1"/>
    <s v="Non-Travel"/>
    <x v="2"/>
    <s v="Current Employees"/>
    <x v="1"/>
    <x v="2"/>
    <s v="STAFF-1947"/>
    <n v="1947"/>
    <x v="1"/>
    <x v="1"/>
    <x v="0"/>
    <s v="No"/>
    <s v="Y"/>
    <n v="3"/>
    <n v="-2"/>
    <n v="0"/>
    <n v="28"/>
    <n v="0"/>
    <m/>
    <n v="0"/>
    <n v="1"/>
    <n v="1103"/>
    <n v="16"/>
    <x v="3"/>
    <n v="1"/>
    <n v="3"/>
    <n v="49"/>
    <n v="3"/>
    <n v="1"/>
    <n v="3"/>
    <n v="2144"/>
    <n v="2122"/>
    <n v="1"/>
    <n v="14"/>
    <n v="3"/>
    <n v="3"/>
    <n v="80"/>
    <n v="0"/>
    <n v="5"/>
    <n v="2"/>
    <n v="5"/>
    <n v="3"/>
    <n v="1"/>
    <n v="4"/>
  </r>
  <r>
    <x v="1"/>
    <s v="Non-Travel"/>
    <x v="0"/>
    <s v="Current Employees"/>
    <x v="1"/>
    <x v="4"/>
    <s v="STAFF-1440"/>
    <n v="1440"/>
    <x v="1"/>
    <x v="2"/>
    <x v="0"/>
    <s v="No"/>
    <s v="Y"/>
    <n v="2"/>
    <n v="-2"/>
    <n v="0"/>
    <n v="37"/>
    <n v="0"/>
    <m/>
    <n v="0"/>
    <n v="1"/>
    <n v="1413"/>
    <n v="5"/>
    <x v="0"/>
    <n v="1"/>
    <n v="4"/>
    <n v="84"/>
    <n v="4"/>
    <n v="1"/>
    <n v="4"/>
    <n v="3500"/>
    <n v="25470"/>
    <n v="0"/>
    <n v="14"/>
    <n v="3"/>
    <n v="1"/>
    <n v="80"/>
    <n v="0"/>
    <n v="7"/>
    <n v="1"/>
    <n v="6"/>
    <n v="5"/>
    <n v="1"/>
    <n v="3"/>
  </r>
  <r>
    <x v="1"/>
    <s v="Non-Travel"/>
    <x v="0"/>
    <s v="Current Employees"/>
    <x v="1"/>
    <x v="0"/>
    <s v="STAFF-1976"/>
    <n v="1976"/>
    <x v="1"/>
    <x v="1"/>
    <x v="0"/>
    <s v="No"/>
    <s v="Y"/>
    <n v="2"/>
    <n v="-2"/>
    <n v="0"/>
    <n v="42"/>
    <n v="0"/>
    <m/>
    <n v="0"/>
    <n v="1"/>
    <n v="335"/>
    <n v="23"/>
    <x v="0"/>
    <n v="1"/>
    <n v="4"/>
    <n v="37"/>
    <n v="2"/>
    <n v="2"/>
    <n v="3"/>
    <n v="4332"/>
    <n v="14811"/>
    <n v="1"/>
    <n v="12"/>
    <n v="3"/>
    <n v="4"/>
    <n v="80"/>
    <n v="0"/>
    <n v="20"/>
    <n v="3"/>
    <n v="20"/>
    <n v="9"/>
    <n v="3"/>
    <n v="7"/>
  </r>
  <r>
    <x v="1"/>
    <s v="Non-Travel"/>
    <x v="0"/>
    <s v="Current Employees"/>
    <x v="1"/>
    <x v="0"/>
    <s v="STAFF-2022"/>
    <n v="2022"/>
    <x v="1"/>
    <x v="5"/>
    <x v="0"/>
    <s v="No"/>
    <s v="Y"/>
    <n v="3"/>
    <n v="-2"/>
    <n v="0"/>
    <n v="39"/>
    <n v="0"/>
    <m/>
    <n v="0"/>
    <n v="1"/>
    <n v="105"/>
    <n v="9"/>
    <x v="3"/>
    <n v="1"/>
    <n v="4"/>
    <n v="87"/>
    <n v="3"/>
    <n v="5"/>
    <n v="4"/>
    <n v="19431"/>
    <n v="15302"/>
    <n v="2"/>
    <n v="13"/>
    <n v="3"/>
    <n v="3"/>
    <n v="80"/>
    <n v="0"/>
    <n v="21"/>
    <n v="2"/>
    <n v="6"/>
    <n v="0"/>
    <n v="1"/>
    <n v="3"/>
  </r>
  <r>
    <x v="1"/>
    <s v="Non-Travel"/>
    <x v="1"/>
    <s v="Current Employees"/>
    <x v="0"/>
    <x v="0"/>
    <s v="STAFF-2019"/>
    <n v="2019"/>
    <x v="1"/>
    <x v="6"/>
    <x v="2"/>
    <s v="No"/>
    <s v="Y"/>
    <n v="3"/>
    <n v="-2"/>
    <n v="0"/>
    <n v="52"/>
    <n v="0"/>
    <m/>
    <n v="0"/>
    <n v="1"/>
    <n v="585"/>
    <n v="29"/>
    <x v="2"/>
    <n v="1"/>
    <n v="1"/>
    <n v="40"/>
    <n v="3"/>
    <n v="1"/>
    <n v="4"/>
    <n v="3482"/>
    <n v="19788"/>
    <n v="2"/>
    <n v="15"/>
    <n v="3"/>
    <n v="2"/>
    <n v="80"/>
    <n v="2"/>
    <n v="16"/>
    <n v="2"/>
    <n v="9"/>
    <n v="8"/>
    <n v="0"/>
    <n v="0"/>
  </r>
  <r>
    <x v="1"/>
    <s v="Non-Travel"/>
    <x v="1"/>
    <s v="Current Employees"/>
    <x v="0"/>
    <x v="3"/>
    <s v="STAFF-1612"/>
    <n v="1612"/>
    <x v="1"/>
    <x v="0"/>
    <x v="1"/>
    <s v="No"/>
    <s v="Y"/>
    <n v="2"/>
    <n v="-2"/>
    <n v="0"/>
    <n v="45"/>
    <n v="0"/>
    <m/>
    <n v="0"/>
    <n v="1"/>
    <n v="336"/>
    <n v="26"/>
    <x v="3"/>
    <n v="1"/>
    <n v="1"/>
    <n v="52"/>
    <n v="2"/>
    <n v="2"/>
    <n v="2"/>
    <n v="4385"/>
    <n v="24162"/>
    <n v="1"/>
    <n v="15"/>
    <n v="3"/>
    <n v="1"/>
    <n v="80"/>
    <n v="1"/>
    <n v="10"/>
    <n v="3"/>
    <n v="10"/>
    <n v="7"/>
    <n v="4"/>
    <n v="5"/>
  </r>
  <r>
    <x v="1"/>
    <s v="Non-Travel"/>
    <x v="1"/>
    <s v="Current Employees"/>
    <x v="0"/>
    <x v="3"/>
    <s v="STAFF-1731"/>
    <n v="1731"/>
    <x v="1"/>
    <x v="0"/>
    <x v="1"/>
    <s v="No"/>
    <s v="Y"/>
    <n v="3"/>
    <n v="-2"/>
    <n v="0"/>
    <n v="47"/>
    <n v="0"/>
    <m/>
    <n v="0"/>
    <n v="1"/>
    <n v="543"/>
    <n v="2"/>
    <x v="2"/>
    <n v="1"/>
    <n v="3"/>
    <n v="87"/>
    <n v="3"/>
    <n v="2"/>
    <n v="2"/>
    <n v="4978"/>
    <n v="3536"/>
    <n v="7"/>
    <n v="11"/>
    <n v="3"/>
    <n v="4"/>
    <n v="80"/>
    <n v="1"/>
    <n v="4"/>
    <n v="1"/>
    <n v="1"/>
    <n v="0"/>
    <n v="0"/>
    <n v="0"/>
  </r>
  <r>
    <x v="1"/>
    <s v="Non-Travel"/>
    <x v="1"/>
    <s v="Current Employees"/>
    <x v="0"/>
    <x v="0"/>
    <s v="STAFF-1801"/>
    <n v="1801"/>
    <x v="1"/>
    <x v="0"/>
    <x v="0"/>
    <s v="No"/>
    <s v="Y"/>
    <n v="3"/>
    <n v="-2"/>
    <n v="0"/>
    <n v="46"/>
    <n v="0"/>
    <m/>
    <n v="0"/>
    <n v="1"/>
    <n v="849"/>
    <n v="26"/>
    <x v="0"/>
    <n v="1"/>
    <n v="2"/>
    <n v="98"/>
    <n v="2"/>
    <n v="2"/>
    <n v="2"/>
    <n v="7991"/>
    <n v="25166"/>
    <n v="8"/>
    <n v="15"/>
    <n v="3"/>
    <n v="3"/>
    <n v="80"/>
    <n v="0"/>
    <n v="6"/>
    <n v="3"/>
    <n v="2"/>
    <n v="2"/>
    <n v="2"/>
    <n v="2"/>
  </r>
  <r>
    <x v="1"/>
    <s v="Travel_Frequently"/>
    <x v="0"/>
    <s v="Current Employees"/>
    <x v="2"/>
    <x v="5"/>
    <s v="STAFF-1563"/>
    <n v="1563"/>
    <x v="1"/>
    <x v="8"/>
    <x v="1"/>
    <s v="No"/>
    <s v="Y"/>
    <n v="2"/>
    <n v="-2"/>
    <n v="0"/>
    <n v="38"/>
    <n v="0"/>
    <m/>
    <n v="0"/>
    <n v="1"/>
    <n v="888"/>
    <n v="10"/>
    <x v="2"/>
    <n v="1"/>
    <n v="3"/>
    <n v="71"/>
    <n v="3"/>
    <n v="2"/>
    <n v="3"/>
    <n v="6077"/>
    <n v="14814"/>
    <n v="3"/>
    <n v="11"/>
    <n v="3"/>
    <n v="3"/>
    <n v="80"/>
    <n v="0"/>
    <n v="10"/>
    <n v="3"/>
    <n v="6"/>
    <n v="3"/>
    <n v="1"/>
    <n v="2"/>
  </r>
  <r>
    <x v="1"/>
    <s v="Travel_Frequently"/>
    <x v="4"/>
    <s v="Current Employees"/>
    <x v="2"/>
    <x v="2"/>
    <s v="STAFF-1746"/>
    <n v="1746"/>
    <x v="1"/>
    <x v="8"/>
    <x v="1"/>
    <s v="No"/>
    <s v="Y"/>
    <n v="2"/>
    <n v="-2"/>
    <n v="0"/>
    <n v="24"/>
    <n v="0"/>
    <m/>
    <n v="0"/>
    <n v="1"/>
    <n v="897"/>
    <n v="10"/>
    <x v="3"/>
    <n v="1"/>
    <n v="1"/>
    <n v="59"/>
    <n v="3"/>
    <n v="1"/>
    <n v="4"/>
    <n v="2145"/>
    <n v="2097"/>
    <n v="0"/>
    <n v="14"/>
    <n v="3"/>
    <n v="4"/>
    <n v="80"/>
    <n v="1"/>
    <n v="3"/>
    <n v="3"/>
    <n v="2"/>
    <n v="2"/>
    <n v="2"/>
    <n v="1"/>
  </r>
  <r>
    <x v="1"/>
    <s v="Travel_Frequently"/>
    <x v="2"/>
    <s v="Current Employees"/>
    <x v="1"/>
    <x v="0"/>
    <s v="STAFF-1590"/>
    <n v="1590"/>
    <x v="1"/>
    <x v="4"/>
    <x v="2"/>
    <s v="No"/>
    <s v="Y"/>
    <n v="0"/>
    <n v="-2"/>
    <n v="0"/>
    <n v="29"/>
    <n v="0"/>
    <m/>
    <n v="0"/>
    <n v="1"/>
    <n v="995"/>
    <n v="2"/>
    <x v="1"/>
    <n v="1"/>
    <n v="1"/>
    <n v="87"/>
    <n v="3"/>
    <n v="2"/>
    <n v="4"/>
    <n v="8853"/>
    <n v="24483"/>
    <n v="1"/>
    <n v="19"/>
    <n v="3"/>
    <n v="4"/>
    <n v="80"/>
    <n v="1"/>
    <n v="6"/>
    <n v="4"/>
    <n v="6"/>
    <n v="4"/>
    <n v="1"/>
    <n v="3"/>
  </r>
  <r>
    <x v="1"/>
    <s v="Travel_Frequently"/>
    <x v="2"/>
    <s v="Current Employees"/>
    <x v="1"/>
    <x v="0"/>
    <s v="STAFF-1615"/>
    <n v="1615"/>
    <x v="1"/>
    <x v="3"/>
    <x v="2"/>
    <s v="No"/>
    <s v="Y"/>
    <n v="3"/>
    <n v="-2"/>
    <n v="0"/>
    <n v="34"/>
    <n v="0"/>
    <m/>
    <n v="0"/>
    <n v="1"/>
    <n v="426"/>
    <n v="10"/>
    <x v="2"/>
    <n v="1"/>
    <n v="3"/>
    <n v="42"/>
    <n v="4"/>
    <n v="2"/>
    <n v="4"/>
    <n v="4724"/>
    <n v="17000"/>
    <n v="1"/>
    <n v="13"/>
    <n v="3"/>
    <n v="1"/>
    <n v="80"/>
    <n v="1"/>
    <n v="9"/>
    <n v="3"/>
    <n v="9"/>
    <n v="7"/>
    <n v="7"/>
    <n v="2"/>
  </r>
  <r>
    <x v="1"/>
    <s v="Travel_Frequently"/>
    <x v="2"/>
    <s v="Current Employees"/>
    <x v="1"/>
    <x v="2"/>
    <s v="STAFF-1485"/>
    <n v="1485"/>
    <x v="1"/>
    <x v="7"/>
    <x v="2"/>
    <s v="No"/>
    <s v="Y"/>
    <n v="3"/>
    <n v="-2"/>
    <n v="0"/>
    <n v="34"/>
    <n v="0"/>
    <m/>
    <n v="0"/>
    <n v="1"/>
    <n v="829"/>
    <n v="15"/>
    <x v="3"/>
    <n v="1"/>
    <n v="2"/>
    <n v="71"/>
    <n v="3"/>
    <n v="4"/>
    <n v="3"/>
    <n v="17007"/>
    <n v="11929"/>
    <n v="7"/>
    <n v="14"/>
    <n v="3"/>
    <n v="4"/>
    <n v="80"/>
    <n v="2"/>
    <n v="16"/>
    <n v="2"/>
    <n v="14"/>
    <n v="8"/>
    <n v="6"/>
    <n v="9"/>
  </r>
  <r>
    <x v="1"/>
    <s v="Travel_Frequently"/>
    <x v="2"/>
    <s v="Current Employees"/>
    <x v="1"/>
    <x v="1"/>
    <s v="STAFF-1431"/>
    <n v="1431"/>
    <x v="1"/>
    <x v="1"/>
    <x v="2"/>
    <s v="No"/>
    <s v="Y"/>
    <n v="2"/>
    <n v="-2"/>
    <n v="0"/>
    <n v="34"/>
    <n v="0"/>
    <m/>
    <n v="0"/>
    <n v="1"/>
    <n v="560"/>
    <n v="1"/>
    <x v="2"/>
    <n v="1"/>
    <n v="4"/>
    <n v="91"/>
    <n v="3"/>
    <n v="1"/>
    <n v="3"/>
    <n v="2996"/>
    <n v="20284"/>
    <n v="5"/>
    <n v="14"/>
    <n v="3"/>
    <n v="3"/>
    <n v="80"/>
    <n v="2"/>
    <n v="10"/>
    <n v="3"/>
    <n v="4"/>
    <n v="3"/>
    <n v="1"/>
    <n v="3"/>
  </r>
  <r>
    <x v="1"/>
    <s v="Travel_Frequently"/>
    <x v="2"/>
    <s v="Current Employees"/>
    <x v="1"/>
    <x v="0"/>
    <s v="STAFF-1653"/>
    <n v="1653"/>
    <x v="1"/>
    <x v="3"/>
    <x v="2"/>
    <s v="No"/>
    <s v="Y"/>
    <n v="6"/>
    <n v="-2"/>
    <n v="0"/>
    <n v="25"/>
    <n v="0"/>
    <m/>
    <n v="0"/>
    <n v="1"/>
    <n v="772"/>
    <n v="2"/>
    <x v="1"/>
    <n v="1"/>
    <n v="4"/>
    <n v="77"/>
    <n v="4"/>
    <n v="2"/>
    <n v="3"/>
    <n v="5206"/>
    <n v="4973"/>
    <n v="1"/>
    <n v="17"/>
    <n v="3"/>
    <n v="3"/>
    <n v="80"/>
    <n v="2"/>
    <n v="7"/>
    <n v="3"/>
    <n v="7"/>
    <n v="7"/>
    <n v="0"/>
    <n v="7"/>
  </r>
  <r>
    <x v="1"/>
    <s v="Travel_Frequently"/>
    <x v="1"/>
    <s v="Current Employees"/>
    <x v="1"/>
    <x v="0"/>
    <s v="STAFF-1941"/>
    <n v="1941"/>
    <x v="1"/>
    <x v="7"/>
    <x v="1"/>
    <s v="No"/>
    <s v="Y"/>
    <n v="3"/>
    <n v="-2"/>
    <n v="0"/>
    <n v="49"/>
    <n v="0"/>
    <m/>
    <n v="0"/>
    <n v="1"/>
    <n v="1064"/>
    <n v="2"/>
    <x v="1"/>
    <n v="1"/>
    <n v="2"/>
    <n v="42"/>
    <n v="3"/>
    <n v="5"/>
    <n v="4"/>
    <n v="19161"/>
    <n v="13738"/>
    <n v="3"/>
    <n v="15"/>
    <n v="3"/>
    <n v="4"/>
    <n v="80"/>
    <n v="0"/>
    <n v="28"/>
    <n v="3"/>
    <n v="5"/>
    <n v="4"/>
    <n v="4"/>
    <n v="3"/>
  </r>
  <r>
    <x v="1"/>
    <s v="Travel_Frequently"/>
    <x v="2"/>
    <s v="Current Employees"/>
    <x v="1"/>
    <x v="2"/>
    <s v="STAFF-1852"/>
    <n v="1852"/>
    <x v="1"/>
    <x v="2"/>
    <x v="1"/>
    <s v="No"/>
    <s v="Y"/>
    <n v="3"/>
    <n v="-2"/>
    <n v="0"/>
    <n v="29"/>
    <n v="0"/>
    <m/>
    <n v="0"/>
    <n v="1"/>
    <n v="574"/>
    <n v="20"/>
    <x v="1"/>
    <n v="1"/>
    <n v="4"/>
    <n v="40"/>
    <n v="3"/>
    <n v="1"/>
    <n v="4"/>
    <n v="3812"/>
    <n v="7003"/>
    <n v="1"/>
    <n v="13"/>
    <n v="3"/>
    <n v="2"/>
    <n v="80"/>
    <n v="0"/>
    <n v="11"/>
    <n v="4"/>
    <n v="11"/>
    <n v="8"/>
    <n v="3"/>
    <n v="10"/>
  </r>
  <r>
    <x v="1"/>
    <s v="Travel_Frequently"/>
    <x v="0"/>
    <s v="Current Employees"/>
    <x v="1"/>
    <x v="0"/>
    <s v="STAFF-1997"/>
    <n v="1997"/>
    <x v="1"/>
    <x v="3"/>
    <x v="1"/>
    <s v="No"/>
    <s v="Y"/>
    <n v="1"/>
    <n v="-2"/>
    <n v="0"/>
    <n v="38"/>
    <n v="0"/>
    <m/>
    <n v="0"/>
    <n v="1"/>
    <n v="508"/>
    <n v="6"/>
    <x v="2"/>
    <n v="1"/>
    <n v="1"/>
    <n v="72"/>
    <n v="2"/>
    <n v="2"/>
    <n v="3"/>
    <n v="5321"/>
    <n v="14284"/>
    <n v="2"/>
    <n v="11"/>
    <n v="3"/>
    <n v="4"/>
    <n v="80"/>
    <n v="1"/>
    <n v="10"/>
    <n v="3"/>
    <n v="8"/>
    <n v="3"/>
    <n v="7"/>
    <n v="7"/>
  </r>
  <r>
    <x v="1"/>
    <s v="Travel_Frequently"/>
    <x v="2"/>
    <s v="Current Employees"/>
    <x v="1"/>
    <x v="0"/>
    <s v="STAFF-1720"/>
    <n v="1720"/>
    <x v="1"/>
    <x v="1"/>
    <x v="1"/>
    <s v="No"/>
    <s v="Y"/>
    <n v="3"/>
    <n v="-2"/>
    <n v="0"/>
    <n v="32"/>
    <n v="0"/>
    <m/>
    <n v="0"/>
    <n v="1"/>
    <n v="585"/>
    <n v="10"/>
    <x v="3"/>
    <n v="1"/>
    <n v="1"/>
    <n v="56"/>
    <n v="3"/>
    <n v="1"/>
    <n v="3"/>
    <n v="3433"/>
    <n v="17360"/>
    <n v="6"/>
    <n v="13"/>
    <n v="3"/>
    <n v="1"/>
    <n v="80"/>
    <n v="1"/>
    <n v="10"/>
    <n v="2"/>
    <n v="5"/>
    <n v="2"/>
    <n v="1"/>
    <n v="3"/>
  </r>
  <r>
    <x v="1"/>
    <s v="Travel_Frequently"/>
    <x v="2"/>
    <s v="Current Employees"/>
    <x v="1"/>
    <x v="1"/>
    <s v="STAFF-1918"/>
    <n v="1918"/>
    <x v="1"/>
    <x v="2"/>
    <x v="1"/>
    <s v="No"/>
    <s v="Y"/>
    <n v="3"/>
    <n v="-2"/>
    <n v="0"/>
    <n v="26"/>
    <n v="0"/>
    <m/>
    <n v="0"/>
    <n v="1"/>
    <n v="1096"/>
    <n v="6"/>
    <x v="3"/>
    <n v="1"/>
    <n v="3"/>
    <n v="61"/>
    <n v="4"/>
    <n v="1"/>
    <n v="4"/>
    <n v="2544"/>
    <n v="7102"/>
    <n v="0"/>
    <n v="18"/>
    <n v="3"/>
    <n v="1"/>
    <n v="80"/>
    <n v="1"/>
    <n v="8"/>
    <n v="3"/>
    <n v="7"/>
    <n v="7"/>
    <n v="7"/>
    <n v="7"/>
  </r>
  <r>
    <x v="1"/>
    <s v="Travel_Frequently"/>
    <x v="0"/>
    <s v="Current Employees"/>
    <x v="1"/>
    <x v="2"/>
    <s v="STAFF-2061"/>
    <n v="2061"/>
    <x v="1"/>
    <x v="2"/>
    <x v="1"/>
    <s v="No"/>
    <s v="Y"/>
    <n v="3"/>
    <n v="-2"/>
    <n v="0"/>
    <n v="36"/>
    <n v="0"/>
    <m/>
    <n v="0"/>
    <n v="1"/>
    <n v="884"/>
    <n v="23"/>
    <x v="0"/>
    <n v="1"/>
    <n v="3"/>
    <n v="41"/>
    <n v="4"/>
    <n v="2"/>
    <n v="4"/>
    <n v="2571"/>
    <n v="12290"/>
    <n v="4"/>
    <n v="17"/>
    <n v="3"/>
    <n v="3"/>
    <n v="80"/>
    <n v="1"/>
    <n v="17"/>
    <n v="3"/>
    <n v="5"/>
    <n v="2"/>
    <n v="0"/>
    <n v="3"/>
  </r>
  <r>
    <x v="1"/>
    <s v="Travel_Frequently"/>
    <x v="2"/>
    <s v="Current Employees"/>
    <x v="1"/>
    <x v="4"/>
    <s v="STAFF-1597"/>
    <n v="1597"/>
    <x v="1"/>
    <x v="4"/>
    <x v="1"/>
    <s v="No"/>
    <s v="Y"/>
    <n v="3"/>
    <n v="-2"/>
    <n v="0"/>
    <n v="34"/>
    <n v="0"/>
    <m/>
    <n v="0"/>
    <n v="1"/>
    <n v="653"/>
    <n v="10"/>
    <x v="2"/>
    <n v="1"/>
    <n v="4"/>
    <n v="92"/>
    <n v="2"/>
    <n v="2"/>
    <n v="4"/>
    <n v="5063"/>
    <n v="15332"/>
    <n v="1"/>
    <n v="14"/>
    <n v="3"/>
    <n v="2"/>
    <n v="80"/>
    <n v="1"/>
    <n v="8"/>
    <n v="2"/>
    <n v="8"/>
    <n v="2"/>
    <n v="7"/>
    <n v="7"/>
  </r>
  <r>
    <x v="1"/>
    <s v="Travel_Frequently"/>
    <x v="0"/>
    <s v="Current Employees"/>
    <x v="1"/>
    <x v="0"/>
    <s v="STAFF-1668"/>
    <n v="1668"/>
    <x v="1"/>
    <x v="1"/>
    <x v="1"/>
    <s v="No"/>
    <s v="Y"/>
    <n v="4"/>
    <n v="-2"/>
    <n v="0"/>
    <n v="38"/>
    <n v="0"/>
    <m/>
    <n v="0"/>
    <n v="1"/>
    <n v="1189"/>
    <n v="1"/>
    <x v="3"/>
    <n v="1"/>
    <n v="4"/>
    <n v="90"/>
    <n v="3"/>
    <n v="2"/>
    <n v="4"/>
    <n v="4735"/>
    <n v="9867"/>
    <n v="7"/>
    <n v="15"/>
    <n v="3"/>
    <n v="4"/>
    <n v="80"/>
    <n v="2"/>
    <n v="19"/>
    <n v="4"/>
    <n v="13"/>
    <n v="11"/>
    <n v="2"/>
    <n v="9"/>
  </r>
  <r>
    <x v="1"/>
    <s v="Travel_Frequently"/>
    <x v="1"/>
    <s v="Current Employees"/>
    <x v="1"/>
    <x v="2"/>
    <s v="STAFF-1922"/>
    <n v="1922"/>
    <x v="1"/>
    <x v="4"/>
    <x v="0"/>
    <s v="No"/>
    <s v="Y"/>
    <n v="3"/>
    <n v="-2"/>
    <n v="0"/>
    <n v="45"/>
    <n v="0"/>
    <m/>
    <n v="0"/>
    <n v="1"/>
    <n v="1297"/>
    <n v="1"/>
    <x v="2"/>
    <n v="1"/>
    <n v="2"/>
    <n v="44"/>
    <n v="3"/>
    <n v="2"/>
    <n v="3"/>
    <n v="5399"/>
    <n v="14511"/>
    <n v="4"/>
    <n v="12"/>
    <n v="3"/>
    <n v="3"/>
    <n v="80"/>
    <n v="0"/>
    <n v="12"/>
    <n v="3"/>
    <n v="4"/>
    <n v="2"/>
    <n v="0"/>
    <n v="3"/>
  </r>
  <r>
    <x v="1"/>
    <s v="Travel_Frequently"/>
    <x v="0"/>
    <s v="Current Employees"/>
    <x v="1"/>
    <x v="0"/>
    <s v="STAFF-1412"/>
    <n v="1412"/>
    <x v="1"/>
    <x v="3"/>
    <x v="0"/>
    <s v="No"/>
    <s v="Y"/>
    <n v="2"/>
    <n v="-2"/>
    <n v="0"/>
    <n v="35"/>
    <n v="0"/>
    <m/>
    <n v="0"/>
    <n v="1"/>
    <n v="200"/>
    <n v="18"/>
    <x v="0"/>
    <n v="1"/>
    <n v="3"/>
    <n v="60"/>
    <n v="3"/>
    <n v="3"/>
    <n v="4"/>
    <n v="9362"/>
    <n v="19944"/>
    <n v="2"/>
    <n v="11"/>
    <n v="3"/>
    <n v="3"/>
    <n v="80"/>
    <n v="0"/>
    <n v="10"/>
    <n v="3"/>
    <n v="2"/>
    <n v="2"/>
    <n v="2"/>
    <n v="2"/>
  </r>
  <r>
    <x v="1"/>
    <s v="Travel_Frequently"/>
    <x v="2"/>
    <s v="Current Employees"/>
    <x v="1"/>
    <x v="2"/>
    <s v="STAFF-1648"/>
    <n v="1648"/>
    <x v="1"/>
    <x v="1"/>
    <x v="0"/>
    <s v="No"/>
    <s v="Y"/>
    <n v="0"/>
    <n v="-2"/>
    <n v="0"/>
    <n v="27"/>
    <n v="0"/>
    <m/>
    <n v="0"/>
    <n v="1"/>
    <n v="591"/>
    <n v="2"/>
    <x v="3"/>
    <n v="1"/>
    <n v="4"/>
    <n v="87"/>
    <n v="3"/>
    <n v="1"/>
    <n v="4"/>
    <n v="2580"/>
    <n v="6297"/>
    <n v="2"/>
    <n v="13"/>
    <n v="3"/>
    <n v="3"/>
    <n v="80"/>
    <n v="0"/>
    <n v="6"/>
    <n v="2"/>
    <n v="4"/>
    <n v="2"/>
    <n v="1"/>
    <n v="2"/>
  </r>
  <r>
    <x v="1"/>
    <s v="Travel_Frequently"/>
    <x v="0"/>
    <s v="Current Employees"/>
    <x v="0"/>
    <x v="0"/>
    <s v="STAFF-1812"/>
    <n v="1812"/>
    <x v="1"/>
    <x v="0"/>
    <x v="2"/>
    <s v="No"/>
    <s v="Y"/>
    <n v="6"/>
    <n v="-2"/>
    <n v="0"/>
    <n v="39"/>
    <n v="0"/>
    <m/>
    <n v="0"/>
    <n v="1"/>
    <n v="766"/>
    <n v="20"/>
    <x v="3"/>
    <n v="1"/>
    <n v="3"/>
    <n v="83"/>
    <n v="3"/>
    <n v="2"/>
    <n v="4"/>
    <n v="4127"/>
    <n v="19188"/>
    <n v="2"/>
    <n v="18"/>
    <n v="3"/>
    <n v="4"/>
    <n v="80"/>
    <n v="1"/>
    <n v="7"/>
    <n v="3"/>
    <n v="2"/>
    <n v="1"/>
    <n v="2"/>
    <n v="2"/>
  </r>
  <r>
    <x v="1"/>
    <s v="Travel_Frequently"/>
    <x v="0"/>
    <s v="Current Employees"/>
    <x v="0"/>
    <x v="2"/>
    <s v="STAFF-1700"/>
    <n v="1700"/>
    <x v="1"/>
    <x v="0"/>
    <x v="2"/>
    <s v="No"/>
    <s v="Y"/>
    <n v="2"/>
    <n v="-2"/>
    <n v="0"/>
    <n v="37"/>
    <n v="0"/>
    <m/>
    <n v="0"/>
    <n v="1"/>
    <n v="1278"/>
    <n v="1"/>
    <x v="2"/>
    <n v="1"/>
    <n v="3"/>
    <n v="31"/>
    <n v="1"/>
    <n v="2"/>
    <n v="4"/>
    <n v="9525"/>
    <n v="7677"/>
    <n v="1"/>
    <n v="14"/>
    <n v="3"/>
    <n v="3"/>
    <n v="80"/>
    <n v="2"/>
    <n v="6"/>
    <n v="2"/>
    <n v="6"/>
    <n v="3"/>
    <n v="1"/>
    <n v="3"/>
  </r>
  <r>
    <x v="1"/>
    <s v="Travel_Frequently"/>
    <x v="1"/>
    <s v="Current Employees"/>
    <x v="0"/>
    <x v="2"/>
    <s v="STAFF-2065"/>
    <n v="2065"/>
    <x v="1"/>
    <x v="0"/>
    <x v="1"/>
    <s v="No"/>
    <s v="Y"/>
    <n v="3"/>
    <n v="-2"/>
    <n v="0"/>
    <n v="49"/>
    <n v="0"/>
    <m/>
    <n v="0"/>
    <n v="1"/>
    <n v="1023"/>
    <n v="2"/>
    <x v="3"/>
    <n v="1"/>
    <n v="4"/>
    <n v="63"/>
    <n v="2"/>
    <n v="2"/>
    <n v="2"/>
    <n v="5390"/>
    <n v="13243"/>
    <n v="2"/>
    <n v="14"/>
    <n v="3"/>
    <n v="4"/>
    <n v="80"/>
    <n v="0"/>
    <n v="17"/>
    <n v="2"/>
    <n v="9"/>
    <n v="6"/>
    <n v="0"/>
    <n v="8"/>
  </r>
  <r>
    <x v="1"/>
    <s v="Travel_Frequently"/>
    <x v="2"/>
    <s v="Current Employees"/>
    <x v="0"/>
    <x v="2"/>
    <s v="STAFF-1477"/>
    <n v="1477"/>
    <x v="1"/>
    <x v="0"/>
    <x v="1"/>
    <s v="No"/>
    <s v="Y"/>
    <n v="2"/>
    <n v="-2"/>
    <n v="0"/>
    <n v="33"/>
    <n v="0"/>
    <m/>
    <n v="0"/>
    <n v="1"/>
    <n v="430"/>
    <n v="7"/>
    <x v="3"/>
    <n v="1"/>
    <n v="4"/>
    <n v="54"/>
    <n v="3"/>
    <n v="2"/>
    <n v="3"/>
    <n v="4373"/>
    <n v="17456"/>
    <n v="0"/>
    <n v="14"/>
    <n v="3"/>
    <n v="1"/>
    <n v="80"/>
    <n v="2"/>
    <n v="5"/>
    <n v="3"/>
    <n v="4"/>
    <n v="3"/>
    <n v="0"/>
    <n v="3"/>
  </r>
  <r>
    <x v="1"/>
    <s v="Travel_Frequently"/>
    <x v="2"/>
    <s v="Current Employees"/>
    <x v="0"/>
    <x v="0"/>
    <s v="STAFF-1507"/>
    <n v="1507"/>
    <x v="1"/>
    <x v="0"/>
    <x v="0"/>
    <s v="No"/>
    <s v="Y"/>
    <n v="5"/>
    <n v="-2"/>
    <n v="0"/>
    <n v="28"/>
    <n v="0"/>
    <m/>
    <n v="0"/>
    <n v="1"/>
    <n v="467"/>
    <n v="7"/>
    <x v="3"/>
    <n v="1"/>
    <n v="3"/>
    <n v="55"/>
    <n v="3"/>
    <n v="2"/>
    <n v="3"/>
    <n v="4898"/>
    <n v="11827"/>
    <n v="0"/>
    <n v="14"/>
    <n v="3"/>
    <n v="4"/>
    <n v="80"/>
    <n v="0"/>
    <n v="5"/>
    <n v="3"/>
    <n v="4"/>
    <n v="2"/>
    <n v="1"/>
    <n v="3"/>
  </r>
  <r>
    <x v="1"/>
    <s v="Travel_Frequently"/>
    <x v="2"/>
    <s v="Current Employees"/>
    <x v="0"/>
    <x v="1"/>
    <s v="STAFF-1613"/>
    <n v="1613"/>
    <x v="1"/>
    <x v="0"/>
    <x v="0"/>
    <s v="No"/>
    <s v="Y"/>
    <n v="3"/>
    <n v="-2"/>
    <n v="0"/>
    <n v="31"/>
    <n v="0"/>
    <m/>
    <n v="0"/>
    <n v="1"/>
    <n v="715"/>
    <n v="2"/>
    <x v="2"/>
    <n v="1"/>
    <n v="4"/>
    <n v="54"/>
    <n v="3"/>
    <n v="2"/>
    <n v="3"/>
    <n v="5332"/>
    <n v="21602"/>
    <n v="7"/>
    <n v="13"/>
    <n v="3"/>
    <n v="4"/>
    <n v="80"/>
    <n v="0"/>
    <n v="10"/>
    <n v="3"/>
    <n v="5"/>
    <n v="2"/>
    <n v="0"/>
    <n v="3"/>
  </r>
  <r>
    <x v="1"/>
    <s v="Travel_Frequently"/>
    <x v="2"/>
    <s v="Current Employees"/>
    <x v="0"/>
    <x v="3"/>
    <s v="STAFF-1853"/>
    <n v="1853"/>
    <x v="1"/>
    <x v="0"/>
    <x v="0"/>
    <s v="No"/>
    <s v="Y"/>
    <n v="2"/>
    <n v="-2"/>
    <n v="0"/>
    <n v="32"/>
    <n v="0"/>
    <m/>
    <n v="0"/>
    <n v="1"/>
    <n v="1318"/>
    <n v="10"/>
    <x v="2"/>
    <n v="1"/>
    <n v="4"/>
    <n v="79"/>
    <n v="3"/>
    <n v="2"/>
    <n v="2"/>
    <n v="4648"/>
    <n v="26075"/>
    <n v="8"/>
    <n v="13"/>
    <n v="3"/>
    <n v="3"/>
    <n v="80"/>
    <n v="0"/>
    <n v="4"/>
    <n v="4"/>
    <n v="0"/>
    <n v="0"/>
    <n v="0"/>
    <n v="0"/>
  </r>
  <r>
    <x v="1"/>
    <s v="Travel_Rarely"/>
    <x v="0"/>
    <s v="Current Employees"/>
    <x v="2"/>
    <x v="1"/>
    <s v="STAFF-1794"/>
    <n v="1794"/>
    <x v="1"/>
    <x v="8"/>
    <x v="2"/>
    <s v="No"/>
    <s v="Y"/>
    <n v="4"/>
    <n v="-2"/>
    <n v="0"/>
    <n v="37"/>
    <n v="0"/>
    <m/>
    <n v="0"/>
    <n v="1"/>
    <n v="1239"/>
    <n v="8"/>
    <x v="0"/>
    <n v="1"/>
    <n v="3"/>
    <n v="89"/>
    <n v="3"/>
    <n v="2"/>
    <n v="2"/>
    <n v="4071"/>
    <n v="12832"/>
    <n v="2"/>
    <n v="13"/>
    <n v="3"/>
    <n v="3"/>
    <n v="80"/>
    <n v="0"/>
    <n v="19"/>
    <n v="2"/>
    <n v="10"/>
    <n v="0"/>
    <n v="4"/>
    <n v="7"/>
  </r>
  <r>
    <x v="1"/>
    <s v="Travel_Rarely"/>
    <x v="2"/>
    <s v="Current Employees"/>
    <x v="2"/>
    <x v="2"/>
    <s v="STAFF-1865"/>
    <n v="1865"/>
    <x v="1"/>
    <x v="8"/>
    <x v="1"/>
    <s v="No"/>
    <s v="Y"/>
    <n v="3"/>
    <n v="-2"/>
    <n v="0"/>
    <n v="29"/>
    <n v="0"/>
    <m/>
    <n v="0"/>
    <n v="1"/>
    <n v="352"/>
    <n v="6"/>
    <x v="1"/>
    <n v="1"/>
    <n v="4"/>
    <n v="87"/>
    <n v="2"/>
    <n v="1"/>
    <n v="2"/>
    <n v="2804"/>
    <n v="15434"/>
    <n v="1"/>
    <n v="11"/>
    <n v="3"/>
    <n v="4"/>
    <n v="80"/>
    <n v="0"/>
    <n v="1"/>
    <n v="3"/>
    <n v="1"/>
    <n v="0"/>
    <n v="0"/>
    <n v="0"/>
  </r>
  <r>
    <x v="1"/>
    <s v="Travel_Rarely"/>
    <x v="2"/>
    <s v="Current Employees"/>
    <x v="2"/>
    <x v="1"/>
    <s v="STAFF-1419"/>
    <n v="1419"/>
    <x v="1"/>
    <x v="8"/>
    <x v="0"/>
    <s v="No"/>
    <s v="Y"/>
    <n v="3"/>
    <n v="-2"/>
    <n v="0"/>
    <n v="29"/>
    <n v="0"/>
    <m/>
    <n v="0"/>
    <n v="1"/>
    <n v="332"/>
    <n v="17"/>
    <x v="3"/>
    <n v="1"/>
    <n v="2"/>
    <n v="51"/>
    <n v="2"/>
    <n v="3"/>
    <n v="3"/>
    <n v="7988"/>
    <n v="9769"/>
    <n v="1"/>
    <n v="13"/>
    <n v="3"/>
    <n v="1"/>
    <n v="80"/>
    <n v="0"/>
    <n v="10"/>
    <n v="2"/>
    <n v="10"/>
    <n v="9"/>
    <n v="0"/>
    <n v="9"/>
  </r>
  <r>
    <x v="1"/>
    <s v="Travel_Rarely"/>
    <x v="0"/>
    <s v="Current Employees"/>
    <x v="2"/>
    <x v="0"/>
    <s v="STAFF-1778"/>
    <n v="1778"/>
    <x v="1"/>
    <x v="8"/>
    <x v="0"/>
    <s v="No"/>
    <s v="Y"/>
    <n v="5"/>
    <n v="-2"/>
    <n v="0"/>
    <n v="43"/>
    <n v="0"/>
    <m/>
    <n v="0"/>
    <n v="1"/>
    <n v="244"/>
    <n v="2"/>
    <x v="3"/>
    <n v="1"/>
    <n v="2"/>
    <n v="97"/>
    <n v="3"/>
    <n v="1"/>
    <n v="4"/>
    <n v="3539"/>
    <n v="5033"/>
    <n v="0"/>
    <n v="13"/>
    <n v="3"/>
    <n v="2"/>
    <n v="80"/>
    <n v="0"/>
    <n v="10"/>
    <n v="3"/>
    <n v="9"/>
    <n v="7"/>
    <n v="1"/>
    <n v="8"/>
  </r>
  <r>
    <x v="1"/>
    <s v="Travel_Rarely"/>
    <x v="3"/>
    <s v="Current Employees"/>
    <x v="1"/>
    <x v="4"/>
    <s v="STAFF-1694"/>
    <n v="1694"/>
    <x v="1"/>
    <x v="1"/>
    <x v="2"/>
    <s v="No"/>
    <s v="Y"/>
    <n v="1"/>
    <n v="-2"/>
    <n v="0"/>
    <n v="55"/>
    <n v="0"/>
    <m/>
    <n v="0"/>
    <n v="1"/>
    <n v="1441"/>
    <n v="22"/>
    <x v="3"/>
    <n v="1"/>
    <n v="4"/>
    <n v="94"/>
    <n v="2"/>
    <n v="1"/>
    <n v="4"/>
    <n v="3537"/>
    <n v="23737"/>
    <n v="5"/>
    <n v="12"/>
    <n v="3"/>
    <n v="4"/>
    <n v="80"/>
    <n v="1"/>
    <n v="8"/>
    <n v="3"/>
    <n v="4"/>
    <n v="2"/>
    <n v="1"/>
    <n v="2"/>
  </r>
  <r>
    <x v="1"/>
    <s v="Travel_Rarely"/>
    <x v="2"/>
    <s v="Current Employees"/>
    <x v="1"/>
    <x v="0"/>
    <s v="STAFF-1506"/>
    <n v="1506"/>
    <x v="1"/>
    <x v="1"/>
    <x v="2"/>
    <s v="No"/>
    <s v="Y"/>
    <n v="2"/>
    <n v="-2"/>
    <n v="0"/>
    <n v="28"/>
    <n v="0"/>
    <m/>
    <n v="0"/>
    <n v="1"/>
    <n v="1423"/>
    <n v="1"/>
    <x v="3"/>
    <n v="1"/>
    <n v="1"/>
    <n v="72"/>
    <n v="2"/>
    <n v="1"/>
    <n v="3"/>
    <n v="1563"/>
    <n v="12530"/>
    <n v="1"/>
    <n v="14"/>
    <n v="3"/>
    <n v="4"/>
    <n v="80"/>
    <n v="1"/>
    <n v="1"/>
    <n v="1"/>
    <n v="1"/>
    <n v="0"/>
    <n v="0"/>
    <n v="0"/>
  </r>
  <r>
    <x v="1"/>
    <s v="Travel_Rarely"/>
    <x v="0"/>
    <s v="Current Employees"/>
    <x v="1"/>
    <x v="0"/>
    <s v="STAFF-1892"/>
    <n v="1892"/>
    <x v="1"/>
    <x v="5"/>
    <x v="2"/>
    <s v="No"/>
    <s v="Y"/>
    <n v="3"/>
    <n v="-2"/>
    <n v="0"/>
    <n v="40"/>
    <n v="0"/>
    <m/>
    <n v="0"/>
    <n v="1"/>
    <n v="1137"/>
    <n v="1"/>
    <x v="2"/>
    <n v="1"/>
    <n v="1"/>
    <n v="98"/>
    <n v="3"/>
    <n v="4"/>
    <n v="3"/>
    <n v="16823"/>
    <n v="18991"/>
    <n v="2"/>
    <n v="11"/>
    <n v="3"/>
    <n v="1"/>
    <n v="80"/>
    <n v="1"/>
    <n v="22"/>
    <n v="3"/>
    <n v="19"/>
    <n v="7"/>
    <n v="11"/>
    <n v="16"/>
  </r>
  <r>
    <x v="1"/>
    <s v="Travel_Rarely"/>
    <x v="2"/>
    <s v="Current Employees"/>
    <x v="1"/>
    <x v="0"/>
    <s v="STAFF-1881"/>
    <n v="1881"/>
    <x v="1"/>
    <x v="2"/>
    <x v="2"/>
    <s v="No"/>
    <s v="Y"/>
    <n v="2"/>
    <n v="-2"/>
    <n v="0"/>
    <n v="31"/>
    <n v="0"/>
    <m/>
    <n v="0"/>
    <n v="1"/>
    <n v="311"/>
    <n v="20"/>
    <x v="3"/>
    <n v="1"/>
    <n v="2"/>
    <n v="89"/>
    <n v="3"/>
    <n v="2"/>
    <n v="3"/>
    <n v="4197"/>
    <n v="18624"/>
    <n v="1"/>
    <n v="11"/>
    <n v="3"/>
    <n v="1"/>
    <n v="80"/>
    <n v="1"/>
    <n v="10"/>
    <n v="3"/>
    <n v="10"/>
    <n v="8"/>
    <n v="0"/>
    <n v="2"/>
  </r>
  <r>
    <x v="1"/>
    <s v="Travel_Rarely"/>
    <x v="0"/>
    <s v="Current Employees"/>
    <x v="1"/>
    <x v="2"/>
    <s v="STAFF-1627"/>
    <n v="1627"/>
    <x v="1"/>
    <x v="2"/>
    <x v="2"/>
    <s v="No"/>
    <s v="Y"/>
    <n v="3"/>
    <n v="-2"/>
    <n v="0"/>
    <n v="39"/>
    <n v="0"/>
    <m/>
    <n v="0"/>
    <n v="1"/>
    <n v="170"/>
    <n v="3"/>
    <x v="0"/>
    <n v="1"/>
    <n v="3"/>
    <n v="76"/>
    <n v="2"/>
    <n v="2"/>
    <n v="3"/>
    <n v="3069"/>
    <n v="10302"/>
    <n v="0"/>
    <n v="15"/>
    <n v="3"/>
    <n v="4"/>
    <n v="80"/>
    <n v="1"/>
    <n v="11"/>
    <n v="3"/>
    <n v="10"/>
    <n v="8"/>
    <n v="0"/>
    <n v="7"/>
  </r>
  <r>
    <x v="1"/>
    <s v="Travel_Rarely"/>
    <x v="0"/>
    <s v="Current Employees"/>
    <x v="1"/>
    <x v="2"/>
    <s v="STAFF-1474"/>
    <n v="1474"/>
    <x v="1"/>
    <x v="1"/>
    <x v="2"/>
    <s v="No"/>
    <s v="Y"/>
    <n v="3"/>
    <n v="-2"/>
    <n v="0"/>
    <n v="40"/>
    <n v="0"/>
    <m/>
    <n v="0"/>
    <n v="1"/>
    <n v="896"/>
    <n v="2"/>
    <x v="3"/>
    <n v="1"/>
    <n v="3"/>
    <n v="68"/>
    <n v="3"/>
    <n v="1"/>
    <n v="3"/>
    <n v="2345"/>
    <n v="8045"/>
    <n v="2"/>
    <n v="14"/>
    <n v="3"/>
    <n v="3"/>
    <n v="80"/>
    <n v="1"/>
    <n v="8"/>
    <n v="4"/>
    <n v="3"/>
    <n v="1"/>
    <n v="1"/>
    <n v="2"/>
  </r>
  <r>
    <x v="1"/>
    <s v="Travel_Rarely"/>
    <x v="1"/>
    <s v="Current Employees"/>
    <x v="1"/>
    <x v="0"/>
    <s v="STAFF-1857"/>
    <n v="1857"/>
    <x v="1"/>
    <x v="3"/>
    <x v="2"/>
    <s v="No"/>
    <s v="Y"/>
    <n v="4"/>
    <n v="-2"/>
    <n v="0"/>
    <n v="46"/>
    <n v="0"/>
    <m/>
    <n v="0"/>
    <n v="1"/>
    <n v="706"/>
    <n v="2"/>
    <x v="0"/>
    <n v="1"/>
    <n v="4"/>
    <n v="82"/>
    <n v="3"/>
    <n v="3"/>
    <n v="4"/>
    <n v="8578"/>
    <n v="19989"/>
    <n v="3"/>
    <n v="14"/>
    <n v="3"/>
    <n v="3"/>
    <n v="80"/>
    <n v="1"/>
    <n v="12"/>
    <n v="2"/>
    <n v="9"/>
    <n v="8"/>
    <n v="4"/>
    <n v="7"/>
  </r>
  <r>
    <x v="1"/>
    <s v="Travel_Rarely"/>
    <x v="0"/>
    <s v="Current Employees"/>
    <x v="1"/>
    <x v="4"/>
    <s v="STAFF-1599"/>
    <n v="1599"/>
    <x v="1"/>
    <x v="2"/>
    <x v="2"/>
    <s v="No"/>
    <s v="Y"/>
    <n v="0"/>
    <n v="-2"/>
    <n v="0"/>
    <n v="43"/>
    <n v="0"/>
    <m/>
    <n v="0"/>
    <n v="1"/>
    <n v="990"/>
    <n v="27"/>
    <x v="3"/>
    <n v="1"/>
    <n v="4"/>
    <n v="87"/>
    <n v="4"/>
    <n v="1"/>
    <n v="4"/>
    <n v="4876"/>
    <n v="5855"/>
    <n v="5"/>
    <n v="12"/>
    <n v="3"/>
    <n v="3"/>
    <n v="80"/>
    <n v="1"/>
    <n v="8"/>
    <n v="3"/>
    <n v="6"/>
    <n v="4"/>
    <n v="0"/>
    <n v="2"/>
  </r>
  <r>
    <x v="1"/>
    <s v="Travel_Rarely"/>
    <x v="0"/>
    <s v="Current Employees"/>
    <x v="1"/>
    <x v="0"/>
    <s v="STAFF-1940"/>
    <n v="1940"/>
    <x v="1"/>
    <x v="1"/>
    <x v="2"/>
    <s v="No"/>
    <s v="Y"/>
    <n v="0"/>
    <n v="-2"/>
    <n v="0"/>
    <n v="38"/>
    <n v="0"/>
    <m/>
    <n v="0"/>
    <n v="1"/>
    <n v="1206"/>
    <n v="9"/>
    <x v="0"/>
    <n v="1"/>
    <n v="2"/>
    <n v="71"/>
    <n v="3"/>
    <n v="1"/>
    <n v="4"/>
    <n v="4771"/>
    <n v="14293"/>
    <n v="2"/>
    <n v="19"/>
    <n v="3"/>
    <n v="4"/>
    <n v="80"/>
    <n v="2"/>
    <n v="10"/>
    <n v="4"/>
    <n v="5"/>
    <n v="2"/>
    <n v="0"/>
    <n v="3"/>
  </r>
  <r>
    <x v="1"/>
    <s v="Travel_Rarely"/>
    <x v="3"/>
    <s v="Current Employees"/>
    <x v="1"/>
    <x v="2"/>
    <s v="STAFF-1424"/>
    <n v="1424"/>
    <x v="1"/>
    <x v="7"/>
    <x v="2"/>
    <s v="No"/>
    <s v="Y"/>
    <n v="4"/>
    <n v="-2"/>
    <n v="0"/>
    <n v="55"/>
    <n v="0"/>
    <m/>
    <n v="0"/>
    <n v="1"/>
    <n v="1136"/>
    <n v="1"/>
    <x v="2"/>
    <n v="1"/>
    <n v="2"/>
    <n v="81"/>
    <n v="4"/>
    <n v="4"/>
    <n v="4"/>
    <n v="14732"/>
    <n v="12414"/>
    <n v="2"/>
    <n v="13"/>
    <n v="3"/>
    <n v="4"/>
    <n v="80"/>
    <n v="2"/>
    <n v="31"/>
    <n v="4"/>
    <n v="7"/>
    <n v="7"/>
    <n v="0"/>
    <n v="0"/>
  </r>
  <r>
    <x v="1"/>
    <s v="Travel_Rarely"/>
    <x v="1"/>
    <s v="Current Employees"/>
    <x v="1"/>
    <x v="0"/>
    <s v="STAFF-1484"/>
    <n v="1484"/>
    <x v="1"/>
    <x v="4"/>
    <x v="2"/>
    <s v="No"/>
    <s v="Y"/>
    <n v="3"/>
    <n v="-2"/>
    <n v="0"/>
    <n v="49"/>
    <n v="0"/>
    <m/>
    <n v="0"/>
    <n v="1"/>
    <n v="1490"/>
    <n v="7"/>
    <x v="2"/>
    <n v="1"/>
    <n v="3"/>
    <n v="35"/>
    <n v="3"/>
    <n v="3"/>
    <n v="2"/>
    <n v="10466"/>
    <n v="20948"/>
    <n v="3"/>
    <n v="14"/>
    <n v="3"/>
    <n v="2"/>
    <n v="80"/>
    <n v="2"/>
    <n v="29"/>
    <n v="3"/>
    <n v="8"/>
    <n v="7"/>
    <n v="0"/>
    <n v="7"/>
  </r>
  <r>
    <x v="1"/>
    <s v="Travel_Rarely"/>
    <x v="2"/>
    <s v="Current Employees"/>
    <x v="1"/>
    <x v="0"/>
    <s v="STAFF-1859"/>
    <n v="1859"/>
    <x v="1"/>
    <x v="4"/>
    <x v="2"/>
    <s v="No"/>
    <s v="Y"/>
    <n v="3"/>
    <n v="-2"/>
    <n v="0"/>
    <n v="29"/>
    <n v="0"/>
    <m/>
    <n v="0"/>
    <n v="1"/>
    <n v="726"/>
    <n v="29"/>
    <x v="1"/>
    <n v="1"/>
    <n v="4"/>
    <n v="93"/>
    <n v="1"/>
    <n v="2"/>
    <n v="3"/>
    <n v="6384"/>
    <n v="21143"/>
    <n v="8"/>
    <n v="17"/>
    <n v="3"/>
    <n v="4"/>
    <n v="80"/>
    <n v="2"/>
    <n v="11"/>
    <n v="3"/>
    <n v="7"/>
    <n v="0"/>
    <n v="1"/>
    <n v="6"/>
  </r>
  <r>
    <x v="1"/>
    <s v="Travel_Rarely"/>
    <x v="2"/>
    <s v="Current Employees"/>
    <x v="1"/>
    <x v="1"/>
    <s v="STAFF-1619"/>
    <n v="1619"/>
    <x v="1"/>
    <x v="2"/>
    <x v="2"/>
    <s v="No"/>
    <s v="Y"/>
    <n v="3"/>
    <n v="-2"/>
    <n v="0"/>
    <n v="27"/>
    <n v="0"/>
    <m/>
    <n v="0"/>
    <n v="1"/>
    <n v="1302"/>
    <n v="19"/>
    <x v="3"/>
    <n v="1"/>
    <n v="4"/>
    <n v="67"/>
    <n v="2"/>
    <n v="1"/>
    <n v="3"/>
    <n v="4066"/>
    <n v="16290"/>
    <n v="1"/>
    <n v="11"/>
    <n v="3"/>
    <n v="1"/>
    <n v="80"/>
    <n v="2"/>
    <n v="7"/>
    <n v="3"/>
    <n v="7"/>
    <n v="7"/>
    <n v="0"/>
    <n v="7"/>
  </r>
  <r>
    <x v="1"/>
    <s v="Travel_Rarely"/>
    <x v="2"/>
    <s v="Current Employees"/>
    <x v="1"/>
    <x v="2"/>
    <s v="STAFF-1671"/>
    <n v="1671"/>
    <x v="1"/>
    <x v="1"/>
    <x v="2"/>
    <s v="No"/>
    <s v="Y"/>
    <n v="4"/>
    <n v="-2"/>
    <n v="0"/>
    <n v="32"/>
    <n v="0"/>
    <m/>
    <n v="0"/>
    <n v="1"/>
    <n v="977"/>
    <n v="2"/>
    <x v="3"/>
    <n v="1"/>
    <n v="4"/>
    <n v="45"/>
    <n v="3"/>
    <n v="2"/>
    <n v="2"/>
    <n v="5470"/>
    <n v="25518"/>
    <n v="0"/>
    <n v="13"/>
    <n v="3"/>
    <n v="3"/>
    <n v="80"/>
    <n v="2"/>
    <n v="10"/>
    <n v="2"/>
    <n v="9"/>
    <n v="5"/>
    <n v="1"/>
    <n v="6"/>
  </r>
  <r>
    <x v="1"/>
    <s v="Travel_Rarely"/>
    <x v="1"/>
    <s v="Current Employees"/>
    <x v="1"/>
    <x v="4"/>
    <s v="STAFF-1553"/>
    <n v="1553"/>
    <x v="1"/>
    <x v="4"/>
    <x v="2"/>
    <s v="No"/>
    <s v="Y"/>
    <n v="4"/>
    <n v="-2"/>
    <n v="0"/>
    <n v="45"/>
    <n v="0"/>
    <m/>
    <n v="0"/>
    <n v="1"/>
    <n v="538"/>
    <n v="1"/>
    <x v="2"/>
    <n v="1"/>
    <n v="4"/>
    <n v="66"/>
    <n v="3"/>
    <n v="3"/>
    <n v="4"/>
    <n v="7441"/>
    <n v="20933"/>
    <n v="1"/>
    <n v="12"/>
    <n v="3"/>
    <n v="1"/>
    <n v="80"/>
    <n v="3"/>
    <n v="10"/>
    <n v="3"/>
    <n v="10"/>
    <n v="8"/>
    <n v="7"/>
    <n v="7"/>
  </r>
  <r>
    <x v="1"/>
    <s v="Travel_Rarely"/>
    <x v="4"/>
    <s v="Current Employees"/>
    <x v="1"/>
    <x v="2"/>
    <s v="STAFF-1725"/>
    <n v="1725"/>
    <x v="1"/>
    <x v="2"/>
    <x v="2"/>
    <s v="No"/>
    <s v="Y"/>
    <n v="2"/>
    <n v="-2"/>
    <n v="0"/>
    <n v="24"/>
    <n v="0"/>
    <m/>
    <n v="0"/>
    <n v="1"/>
    <n v="506"/>
    <n v="29"/>
    <x v="1"/>
    <n v="1"/>
    <n v="2"/>
    <n v="91"/>
    <n v="3"/>
    <n v="1"/>
    <n v="3"/>
    <n v="3907"/>
    <n v="3622"/>
    <n v="1"/>
    <n v="13"/>
    <n v="3"/>
    <n v="2"/>
    <n v="80"/>
    <n v="3"/>
    <n v="6"/>
    <n v="4"/>
    <n v="6"/>
    <n v="2"/>
    <n v="1"/>
    <n v="2"/>
  </r>
  <r>
    <x v="1"/>
    <s v="Travel_Rarely"/>
    <x v="4"/>
    <s v="Current Employees"/>
    <x v="1"/>
    <x v="4"/>
    <s v="STAFF-1551"/>
    <n v="1551"/>
    <x v="1"/>
    <x v="2"/>
    <x v="2"/>
    <s v="No"/>
    <s v="Y"/>
    <n v="3"/>
    <n v="-2"/>
    <n v="0"/>
    <n v="24"/>
    <n v="0"/>
    <m/>
    <n v="0"/>
    <n v="1"/>
    <n v="350"/>
    <n v="21"/>
    <x v="0"/>
    <n v="1"/>
    <n v="4"/>
    <n v="57"/>
    <n v="2"/>
    <n v="1"/>
    <n v="4"/>
    <n v="2296"/>
    <n v="10036"/>
    <n v="0"/>
    <n v="14"/>
    <n v="3"/>
    <n v="2"/>
    <n v="80"/>
    <n v="3"/>
    <n v="2"/>
    <n v="3"/>
    <n v="1"/>
    <n v="1"/>
    <n v="0"/>
    <n v="0"/>
  </r>
  <r>
    <x v="1"/>
    <s v="Travel_Rarely"/>
    <x v="0"/>
    <s v="Current Employees"/>
    <x v="1"/>
    <x v="1"/>
    <s v="STAFF-1871"/>
    <n v="1871"/>
    <x v="1"/>
    <x v="1"/>
    <x v="2"/>
    <s v="No"/>
    <s v="Y"/>
    <n v="2"/>
    <n v="-2"/>
    <n v="0"/>
    <n v="39"/>
    <n v="0"/>
    <m/>
    <n v="0"/>
    <n v="1"/>
    <n v="835"/>
    <n v="19"/>
    <x v="2"/>
    <n v="1"/>
    <n v="4"/>
    <n v="41"/>
    <n v="3"/>
    <n v="2"/>
    <n v="4"/>
    <n v="3902"/>
    <n v="5141"/>
    <n v="8"/>
    <n v="14"/>
    <n v="3"/>
    <n v="2"/>
    <n v="80"/>
    <n v="3"/>
    <n v="7"/>
    <n v="3"/>
    <n v="2"/>
    <n v="2"/>
    <n v="2"/>
    <n v="2"/>
  </r>
  <r>
    <x v="1"/>
    <s v="Travel_Rarely"/>
    <x v="0"/>
    <s v="Current Employees"/>
    <x v="1"/>
    <x v="0"/>
    <s v="STAFF-2031"/>
    <n v="2031"/>
    <x v="1"/>
    <x v="5"/>
    <x v="1"/>
    <s v="No"/>
    <s v="Y"/>
    <n v="2"/>
    <n v="-2"/>
    <n v="0"/>
    <n v="42"/>
    <n v="0"/>
    <m/>
    <n v="0"/>
    <n v="1"/>
    <n v="300"/>
    <n v="2"/>
    <x v="3"/>
    <n v="1"/>
    <n v="1"/>
    <n v="56"/>
    <n v="3"/>
    <n v="5"/>
    <n v="3"/>
    <n v="18880"/>
    <n v="17312"/>
    <n v="5"/>
    <n v="11"/>
    <n v="3"/>
    <n v="1"/>
    <n v="80"/>
    <n v="0"/>
    <n v="24"/>
    <n v="2"/>
    <n v="22"/>
    <n v="6"/>
    <n v="4"/>
    <n v="14"/>
  </r>
  <r>
    <x v="1"/>
    <s v="Travel_Rarely"/>
    <x v="0"/>
    <s v="Current Employees"/>
    <x v="1"/>
    <x v="2"/>
    <s v="STAFF-1543"/>
    <n v="1543"/>
    <x v="1"/>
    <x v="1"/>
    <x v="1"/>
    <s v="No"/>
    <s v="Y"/>
    <n v="2"/>
    <n v="-2"/>
    <n v="0"/>
    <n v="37"/>
    <n v="0"/>
    <m/>
    <n v="0"/>
    <n v="1"/>
    <n v="674"/>
    <n v="13"/>
    <x v="3"/>
    <n v="1"/>
    <n v="1"/>
    <n v="47"/>
    <n v="3"/>
    <n v="2"/>
    <n v="4"/>
    <n v="4285"/>
    <n v="3031"/>
    <n v="1"/>
    <n v="17"/>
    <n v="3"/>
    <n v="1"/>
    <n v="80"/>
    <n v="0"/>
    <n v="10"/>
    <n v="3"/>
    <n v="10"/>
    <n v="8"/>
    <n v="3"/>
    <n v="7"/>
  </r>
  <r>
    <x v="1"/>
    <s v="Travel_Rarely"/>
    <x v="2"/>
    <s v="Current Employees"/>
    <x v="1"/>
    <x v="0"/>
    <s v="STAFF-1434"/>
    <n v="1434"/>
    <x v="1"/>
    <x v="2"/>
    <x v="1"/>
    <s v="No"/>
    <s v="Y"/>
    <n v="3"/>
    <n v="-2"/>
    <n v="0"/>
    <n v="27"/>
    <n v="0"/>
    <m/>
    <n v="0"/>
    <n v="1"/>
    <n v="1377"/>
    <n v="11"/>
    <x v="1"/>
    <n v="1"/>
    <n v="2"/>
    <n v="91"/>
    <n v="3"/>
    <n v="1"/>
    <n v="3"/>
    <n v="2099"/>
    <n v="7679"/>
    <n v="0"/>
    <n v="14"/>
    <n v="3"/>
    <n v="2"/>
    <n v="80"/>
    <n v="0"/>
    <n v="6"/>
    <n v="4"/>
    <n v="5"/>
    <n v="0"/>
    <n v="1"/>
    <n v="4"/>
  </r>
  <r>
    <x v="1"/>
    <s v="Travel_Rarely"/>
    <x v="0"/>
    <s v="Current Employees"/>
    <x v="1"/>
    <x v="0"/>
    <s v="STAFF-1621"/>
    <n v="1621"/>
    <x v="1"/>
    <x v="1"/>
    <x v="1"/>
    <s v="No"/>
    <s v="Y"/>
    <n v="2"/>
    <n v="-2"/>
    <n v="0"/>
    <n v="35"/>
    <n v="0"/>
    <m/>
    <n v="0"/>
    <n v="1"/>
    <n v="819"/>
    <n v="18"/>
    <x v="4"/>
    <n v="1"/>
    <n v="2"/>
    <n v="48"/>
    <n v="4"/>
    <n v="2"/>
    <n v="3"/>
    <n v="5208"/>
    <n v="26312"/>
    <n v="1"/>
    <n v="11"/>
    <n v="3"/>
    <n v="4"/>
    <n v="80"/>
    <n v="0"/>
    <n v="16"/>
    <n v="3"/>
    <n v="16"/>
    <n v="15"/>
    <n v="1"/>
    <n v="10"/>
  </r>
  <r>
    <x v="1"/>
    <s v="Travel_Rarely"/>
    <x v="2"/>
    <s v="Current Employees"/>
    <x v="1"/>
    <x v="2"/>
    <s v="STAFF-2068"/>
    <n v="2068"/>
    <x v="1"/>
    <x v="2"/>
    <x v="1"/>
    <s v="No"/>
    <s v="Y"/>
    <n v="3"/>
    <n v="-2"/>
    <n v="0"/>
    <n v="34"/>
    <n v="0"/>
    <m/>
    <n v="0"/>
    <n v="1"/>
    <n v="628"/>
    <n v="8"/>
    <x v="3"/>
    <n v="1"/>
    <n v="2"/>
    <n v="82"/>
    <n v="4"/>
    <n v="2"/>
    <n v="3"/>
    <n v="4404"/>
    <n v="10228"/>
    <n v="2"/>
    <n v="12"/>
    <n v="3"/>
    <n v="1"/>
    <n v="80"/>
    <n v="0"/>
    <n v="6"/>
    <n v="4"/>
    <n v="4"/>
    <n v="3"/>
    <n v="1"/>
    <n v="2"/>
  </r>
  <r>
    <x v="1"/>
    <s v="Travel_Rarely"/>
    <x v="1"/>
    <s v="Current Employees"/>
    <x v="1"/>
    <x v="2"/>
    <s v="STAFF-1689"/>
    <n v="1689"/>
    <x v="1"/>
    <x v="4"/>
    <x v="1"/>
    <s v="No"/>
    <s v="Y"/>
    <n v="2"/>
    <n v="-2"/>
    <n v="0"/>
    <n v="53"/>
    <n v="0"/>
    <m/>
    <n v="0"/>
    <n v="1"/>
    <n v="1395"/>
    <n v="24"/>
    <x v="2"/>
    <n v="1"/>
    <n v="2"/>
    <n v="48"/>
    <n v="4"/>
    <n v="3"/>
    <n v="4"/>
    <n v="7005"/>
    <n v="3458"/>
    <n v="3"/>
    <n v="15"/>
    <n v="3"/>
    <n v="3"/>
    <n v="80"/>
    <n v="0"/>
    <n v="11"/>
    <n v="3"/>
    <n v="4"/>
    <n v="3"/>
    <n v="1"/>
    <n v="2"/>
  </r>
  <r>
    <x v="1"/>
    <s v="Travel_Rarely"/>
    <x v="1"/>
    <s v="Current Employees"/>
    <x v="1"/>
    <x v="0"/>
    <s v="STAFF-1867"/>
    <n v="1867"/>
    <x v="1"/>
    <x v="7"/>
    <x v="1"/>
    <s v="No"/>
    <s v="Y"/>
    <n v="3"/>
    <n v="-2"/>
    <n v="0"/>
    <n v="48"/>
    <n v="0"/>
    <m/>
    <n v="0"/>
    <n v="1"/>
    <n v="1224"/>
    <n v="10"/>
    <x v="3"/>
    <n v="1"/>
    <n v="4"/>
    <n v="91"/>
    <n v="2"/>
    <n v="5"/>
    <n v="2"/>
    <n v="19665"/>
    <n v="13583"/>
    <n v="4"/>
    <n v="12"/>
    <n v="3"/>
    <n v="4"/>
    <n v="80"/>
    <n v="0"/>
    <n v="29"/>
    <n v="3"/>
    <n v="22"/>
    <n v="10"/>
    <n v="12"/>
    <n v="9"/>
  </r>
  <r>
    <x v="1"/>
    <s v="Travel_Rarely"/>
    <x v="2"/>
    <s v="Current Employees"/>
    <x v="1"/>
    <x v="2"/>
    <s v="STAFF-1989"/>
    <n v="1989"/>
    <x v="1"/>
    <x v="2"/>
    <x v="1"/>
    <s v="No"/>
    <s v="Y"/>
    <n v="6"/>
    <n v="-2"/>
    <n v="0"/>
    <n v="30"/>
    <n v="0"/>
    <m/>
    <n v="0"/>
    <n v="1"/>
    <n v="911"/>
    <n v="1"/>
    <x v="0"/>
    <n v="1"/>
    <n v="4"/>
    <n v="76"/>
    <n v="3"/>
    <n v="1"/>
    <n v="2"/>
    <n v="3748"/>
    <n v="4077"/>
    <n v="1"/>
    <n v="13"/>
    <n v="3"/>
    <n v="3"/>
    <n v="80"/>
    <n v="0"/>
    <n v="12"/>
    <n v="2"/>
    <n v="12"/>
    <n v="8"/>
    <n v="1"/>
    <n v="7"/>
  </r>
  <r>
    <x v="1"/>
    <s v="Travel_Rarely"/>
    <x v="2"/>
    <s v="Current Employees"/>
    <x v="1"/>
    <x v="0"/>
    <s v="STAFF-1954"/>
    <n v="1954"/>
    <x v="1"/>
    <x v="4"/>
    <x v="1"/>
    <s v="No"/>
    <s v="Y"/>
    <n v="5"/>
    <n v="-2"/>
    <n v="0"/>
    <n v="29"/>
    <n v="0"/>
    <m/>
    <n v="0"/>
    <n v="1"/>
    <n v="136"/>
    <n v="1"/>
    <x v="3"/>
    <n v="1"/>
    <n v="1"/>
    <n v="89"/>
    <n v="3"/>
    <n v="2"/>
    <n v="3"/>
    <n v="5373"/>
    <n v="6225"/>
    <n v="0"/>
    <n v="12"/>
    <n v="3"/>
    <n v="1"/>
    <n v="80"/>
    <n v="1"/>
    <n v="6"/>
    <n v="2"/>
    <n v="5"/>
    <n v="3"/>
    <n v="0"/>
    <n v="2"/>
  </r>
  <r>
    <x v="1"/>
    <s v="Travel_Rarely"/>
    <x v="1"/>
    <s v="Current Employees"/>
    <x v="1"/>
    <x v="4"/>
    <s v="STAFF-1473"/>
    <n v="1473"/>
    <x v="1"/>
    <x v="4"/>
    <x v="1"/>
    <s v="No"/>
    <s v="Y"/>
    <n v="0"/>
    <n v="-2"/>
    <n v="0"/>
    <n v="49"/>
    <n v="0"/>
    <m/>
    <n v="0"/>
    <n v="1"/>
    <n v="1495"/>
    <n v="5"/>
    <x v="2"/>
    <n v="1"/>
    <n v="4"/>
    <n v="96"/>
    <n v="3"/>
    <n v="2"/>
    <n v="4"/>
    <n v="6651"/>
    <n v="21534"/>
    <n v="2"/>
    <n v="14"/>
    <n v="3"/>
    <n v="2"/>
    <n v="80"/>
    <n v="1"/>
    <n v="20"/>
    <n v="2"/>
    <n v="3"/>
    <n v="2"/>
    <n v="1"/>
    <n v="2"/>
  </r>
  <r>
    <x v="1"/>
    <s v="Travel_Rarely"/>
    <x v="0"/>
    <s v="Current Employees"/>
    <x v="1"/>
    <x v="0"/>
    <s v="STAFF-1971"/>
    <n v="1971"/>
    <x v="1"/>
    <x v="4"/>
    <x v="1"/>
    <s v="No"/>
    <s v="Y"/>
    <n v="1"/>
    <n v="-2"/>
    <n v="0"/>
    <n v="43"/>
    <n v="0"/>
    <m/>
    <n v="0"/>
    <n v="1"/>
    <n v="574"/>
    <n v="11"/>
    <x v="3"/>
    <n v="1"/>
    <n v="1"/>
    <n v="30"/>
    <n v="3"/>
    <n v="3"/>
    <n v="3"/>
    <n v="7510"/>
    <n v="16873"/>
    <n v="1"/>
    <n v="17"/>
    <n v="3"/>
    <n v="2"/>
    <n v="80"/>
    <n v="1"/>
    <n v="10"/>
    <n v="3"/>
    <n v="10"/>
    <n v="9"/>
    <n v="0"/>
    <n v="9"/>
  </r>
  <r>
    <x v="1"/>
    <s v="Travel_Rarely"/>
    <x v="2"/>
    <s v="Current Employees"/>
    <x v="1"/>
    <x v="4"/>
    <s v="STAFF-1415"/>
    <n v="1415"/>
    <x v="1"/>
    <x v="2"/>
    <x v="1"/>
    <s v="No"/>
    <s v="Y"/>
    <n v="2"/>
    <n v="-2"/>
    <n v="0"/>
    <n v="25"/>
    <n v="0"/>
    <m/>
    <n v="0"/>
    <n v="1"/>
    <n v="949"/>
    <n v="1"/>
    <x v="3"/>
    <n v="1"/>
    <n v="4"/>
    <n v="81"/>
    <n v="3"/>
    <n v="1"/>
    <n v="4"/>
    <n v="3229"/>
    <n v="4910"/>
    <n v="4"/>
    <n v="11"/>
    <n v="3"/>
    <n v="2"/>
    <n v="80"/>
    <n v="1"/>
    <n v="7"/>
    <n v="2"/>
    <n v="3"/>
    <n v="2"/>
    <n v="0"/>
    <n v="2"/>
  </r>
  <r>
    <x v="1"/>
    <s v="Travel_Rarely"/>
    <x v="1"/>
    <s v="Current Employees"/>
    <x v="1"/>
    <x v="4"/>
    <s v="STAFF-1438"/>
    <n v="1438"/>
    <x v="1"/>
    <x v="1"/>
    <x v="1"/>
    <s v="No"/>
    <s v="Y"/>
    <n v="2"/>
    <n v="-2"/>
    <n v="0"/>
    <n v="47"/>
    <n v="0"/>
    <m/>
    <n v="0"/>
    <n v="1"/>
    <n v="465"/>
    <n v="1"/>
    <x v="3"/>
    <n v="1"/>
    <n v="4"/>
    <n v="74"/>
    <n v="3"/>
    <n v="1"/>
    <n v="4"/>
    <n v="3420"/>
    <n v="10205"/>
    <n v="7"/>
    <n v="12"/>
    <n v="3"/>
    <n v="3"/>
    <n v="80"/>
    <n v="1"/>
    <n v="17"/>
    <n v="2"/>
    <n v="6"/>
    <n v="5"/>
    <n v="1"/>
    <n v="2"/>
  </r>
  <r>
    <x v="1"/>
    <s v="Travel_Rarely"/>
    <x v="0"/>
    <s v="Current Employees"/>
    <x v="1"/>
    <x v="2"/>
    <s v="STAFF-1826"/>
    <n v="1826"/>
    <x v="1"/>
    <x v="2"/>
    <x v="1"/>
    <s v="No"/>
    <s v="Y"/>
    <n v="2"/>
    <n v="-2"/>
    <n v="0"/>
    <n v="35"/>
    <n v="0"/>
    <m/>
    <n v="0"/>
    <n v="1"/>
    <n v="185"/>
    <n v="23"/>
    <x v="2"/>
    <n v="1"/>
    <n v="2"/>
    <n v="91"/>
    <n v="1"/>
    <n v="1"/>
    <n v="3"/>
    <n v="2705"/>
    <n v="9696"/>
    <n v="0"/>
    <n v="16"/>
    <n v="3"/>
    <n v="2"/>
    <n v="80"/>
    <n v="1"/>
    <n v="6"/>
    <n v="4"/>
    <n v="5"/>
    <n v="4"/>
    <n v="0"/>
    <n v="3"/>
  </r>
  <r>
    <x v="1"/>
    <s v="Travel_Rarely"/>
    <x v="2"/>
    <s v="Current Employees"/>
    <x v="1"/>
    <x v="2"/>
    <s v="STAFF-1609"/>
    <n v="1609"/>
    <x v="1"/>
    <x v="1"/>
    <x v="1"/>
    <s v="No"/>
    <s v="Y"/>
    <n v="3"/>
    <n v="-2"/>
    <n v="0"/>
    <n v="30"/>
    <n v="0"/>
    <m/>
    <n v="0"/>
    <n v="1"/>
    <n v="241"/>
    <n v="7"/>
    <x v="3"/>
    <n v="1"/>
    <n v="2"/>
    <n v="48"/>
    <n v="2"/>
    <n v="1"/>
    <n v="2"/>
    <n v="2141"/>
    <n v="5348"/>
    <n v="1"/>
    <n v="12"/>
    <n v="3"/>
    <n v="2"/>
    <n v="80"/>
    <n v="1"/>
    <n v="6"/>
    <n v="2"/>
    <n v="6"/>
    <n v="4"/>
    <n v="1"/>
    <n v="1"/>
  </r>
  <r>
    <x v="1"/>
    <s v="Travel_Rarely"/>
    <x v="2"/>
    <s v="Current Employees"/>
    <x v="1"/>
    <x v="2"/>
    <s v="STAFF-1696"/>
    <n v="1696"/>
    <x v="1"/>
    <x v="2"/>
    <x v="1"/>
    <s v="No"/>
    <s v="Y"/>
    <n v="3"/>
    <n v="-2"/>
    <n v="0"/>
    <n v="34"/>
    <n v="0"/>
    <m/>
    <n v="0"/>
    <n v="1"/>
    <n v="1157"/>
    <n v="5"/>
    <x v="0"/>
    <n v="1"/>
    <n v="2"/>
    <n v="57"/>
    <n v="2"/>
    <n v="2"/>
    <n v="4"/>
    <n v="3986"/>
    <n v="11912"/>
    <n v="1"/>
    <n v="14"/>
    <n v="3"/>
    <n v="3"/>
    <n v="80"/>
    <n v="1"/>
    <n v="15"/>
    <n v="4"/>
    <n v="15"/>
    <n v="10"/>
    <n v="4"/>
    <n v="13"/>
  </r>
  <r>
    <x v="1"/>
    <s v="Travel_Rarely"/>
    <x v="2"/>
    <s v="Current Employees"/>
    <x v="1"/>
    <x v="4"/>
    <s v="STAFF-1931"/>
    <n v="1931"/>
    <x v="1"/>
    <x v="1"/>
    <x v="1"/>
    <s v="No"/>
    <s v="Y"/>
    <n v="3"/>
    <n v="-2"/>
    <n v="0"/>
    <n v="27"/>
    <n v="0"/>
    <m/>
    <n v="0"/>
    <n v="1"/>
    <n v="1354"/>
    <n v="2"/>
    <x v="2"/>
    <n v="1"/>
    <n v="4"/>
    <n v="41"/>
    <n v="3"/>
    <n v="1"/>
    <n v="4"/>
    <n v="2226"/>
    <n v="6073"/>
    <n v="1"/>
    <n v="11"/>
    <n v="3"/>
    <n v="3"/>
    <n v="80"/>
    <n v="1"/>
    <n v="6"/>
    <n v="2"/>
    <n v="5"/>
    <n v="3"/>
    <n v="1"/>
    <n v="2"/>
  </r>
  <r>
    <x v="1"/>
    <s v="Travel_Rarely"/>
    <x v="2"/>
    <s v="Current Employees"/>
    <x v="1"/>
    <x v="0"/>
    <s v="STAFF-1721"/>
    <n v="1721"/>
    <x v="1"/>
    <x v="2"/>
    <x v="1"/>
    <s v="No"/>
    <s v="Y"/>
    <n v="2"/>
    <n v="-2"/>
    <n v="0"/>
    <n v="31"/>
    <n v="0"/>
    <m/>
    <n v="0"/>
    <n v="1"/>
    <n v="741"/>
    <n v="2"/>
    <x v="2"/>
    <n v="1"/>
    <n v="2"/>
    <n v="69"/>
    <n v="3"/>
    <n v="1"/>
    <n v="3"/>
    <n v="3477"/>
    <n v="18103"/>
    <n v="1"/>
    <n v="14"/>
    <n v="3"/>
    <n v="4"/>
    <n v="80"/>
    <n v="1"/>
    <n v="6"/>
    <n v="4"/>
    <n v="5"/>
    <n v="2"/>
    <n v="0"/>
    <n v="3"/>
  </r>
  <r>
    <x v="1"/>
    <s v="Travel_Rarely"/>
    <x v="2"/>
    <s v="Current Employees"/>
    <x v="1"/>
    <x v="0"/>
    <s v="STAFF-1729"/>
    <n v="1729"/>
    <x v="1"/>
    <x v="1"/>
    <x v="1"/>
    <s v="No"/>
    <s v="Y"/>
    <n v="2"/>
    <n v="-2"/>
    <n v="0"/>
    <n v="30"/>
    <n v="0"/>
    <m/>
    <n v="0"/>
    <n v="1"/>
    <n v="793"/>
    <n v="16"/>
    <x v="1"/>
    <n v="1"/>
    <n v="2"/>
    <n v="33"/>
    <n v="3"/>
    <n v="1"/>
    <n v="4"/>
    <n v="2862"/>
    <n v="3811"/>
    <n v="1"/>
    <n v="12"/>
    <n v="3"/>
    <n v="2"/>
    <n v="80"/>
    <n v="1"/>
    <n v="10"/>
    <n v="2"/>
    <n v="10"/>
    <n v="0"/>
    <n v="0"/>
    <n v="8"/>
  </r>
  <r>
    <x v="1"/>
    <s v="Travel_Rarely"/>
    <x v="2"/>
    <s v="Current Employees"/>
    <x v="1"/>
    <x v="0"/>
    <s v="STAFF-1580"/>
    <n v="1580"/>
    <x v="1"/>
    <x v="1"/>
    <x v="1"/>
    <s v="No"/>
    <s v="Y"/>
    <n v="3"/>
    <n v="-2"/>
    <n v="0"/>
    <n v="34"/>
    <n v="0"/>
    <m/>
    <n v="0"/>
    <n v="1"/>
    <n v="1351"/>
    <n v="1"/>
    <x v="2"/>
    <n v="1"/>
    <n v="2"/>
    <n v="45"/>
    <n v="3"/>
    <n v="2"/>
    <n v="4"/>
    <n v="5484"/>
    <n v="13008"/>
    <n v="9"/>
    <n v="17"/>
    <n v="3"/>
    <n v="2"/>
    <n v="80"/>
    <n v="1"/>
    <n v="9"/>
    <n v="2"/>
    <n v="2"/>
    <n v="2"/>
    <n v="2"/>
    <n v="1"/>
  </r>
  <r>
    <x v="1"/>
    <s v="Travel_Rarely"/>
    <x v="0"/>
    <s v="Current Employees"/>
    <x v="1"/>
    <x v="0"/>
    <s v="STAFF-1903"/>
    <n v="1903"/>
    <x v="1"/>
    <x v="4"/>
    <x v="1"/>
    <s v="No"/>
    <s v="Y"/>
    <n v="5"/>
    <n v="-2"/>
    <n v="0"/>
    <n v="44"/>
    <n v="0"/>
    <m/>
    <n v="0"/>
    <n v="1"/>
    <n v="170"/>
    <n v="1"/>
    <x v="2"/>
    <n v="1"/>
    <n v="2"/>
    <n v="78"/>
    <n v="4"/>
    <n v="2"/>
    <n v="3"/>
    <n v="5033"/>
    <n v="9364"/>
    <n v="2"/>
    <n v="15"/>
    <n v="3"/>
    <n v="4"/>
    <n v="80"/>
    <n v="1"/>
    <n v="10"/>
    <n v="3"/>
    <n v="2"/>
    <n v="0"/>
    <n v="2"/>
    <n v="2"/>
  </r>
  <r>
    <x v="1"/>
    <s v="Travel_Rarely"/>
    <x v="0"/>
    <s v="Current Employees"/>
    <x v="1"/>
    <x v="2"/>
    <s v="STAFF-1542"/>
    <n v="1542"/>
    <x v="1"/>
    <x v="2"/>
    <x v="1"/>
    <s v="No"/>
    <s v="Y"/>
    <n v="3"/>
    <n v="-2"/>
    <n v="0"/>
    <n v="42"/>
    <n v="0"/>
    <m/>
    <n v="0"/>
    <n v="1"/>
    <n v="1210"/>
    <n v="2"/>
    <x v="3"/>
    <n v="1"/>
    <n v="3"/>
    <n v="68"/>
    <n v="2"/>
    <n v="1"/>
    <n v="2"/>
    <n v="4841"/>
    <n v="24052"/>
    <n v="4"/>
    <n v="14"/>
    <n v="3"/>
    <n v="2"/>
    <n v="80"/>
    <n v="1"/>
    <n v="4"/>
    <n v="3"/>
    <n v="1"/>
    <n v="0"/>
    <n v="0"/>
    <n v="0"/>
  </r>
  <r>
    <x v="1"/>
    <s v="Travel_Rarely"/>
    <x v="0"/>
    <s v="Current Employees"/>
    <x v="1"/>
    <x v="0"/>
    <s v="STAFF-1601"/>
    <n v="1601"/>
    <x v="1"/>
    <x v="2"/>
    <x v="1"/>
    <s v="No"/>
    <s v="Y"/>
    <n v="5"/>
    <n v="-2"/>
    <n v="0"/>
    <n v="35"/>
    <n v="0"/>
    <m/>
    <n v="0"/>
    <n v="1"/>
    <n v="1349"/>
    <n v="7"/>
    <x v="0"/>
    <n v="1"/>
    <n v="3"/>
    <n v="63"/>
    <n v="2"/>
    <n v="1"/>
    <n v="4"/>
    <n v="2690"/>
    <n v="7713"/>
    <n v="1"/>
    <n v="18"/>
    <n v="3"/>
    <n v="4"/>
    <n v="80"/>
    <n v="1"/>
    <n v="1"/>
    <n v="2"/>
    <n v="1"/>
    <n v="0"/>
    <n v="0"/>
    <n v="1"/>
  </r>
  <r>
    <x v="1"/>
    <s v="Travel_Rarely"/>
    <x v="0"/>
    <s v="Current Employees"/>
    <x v="1"/>
    <x v="2"/>
    <s v="STAFF-1911"/>
    <n v="1911"/>
    <x v="1"/>
    <x v="7"/>
    <x v="1"/>
    <s v="No"/>
    <s v="Y"/>
    <n v="3"/>
    <n v="-2"/>
    <n v="0"/>
    <n v="42"/>
    <n v="0"/>
    <m/>
    <n v="0"/>
    <n v="1"/>
    <n v="1396"/>
    <n v="6"/>
    <x v="3"/>
    <n v="1"/>
    <n v="3"/>
    <n v="83"/>
    <n v="3"/>
    <n v="3"/>
    <n v="3"/>
    <n v="13348"/>
    <n v="14842"/>
    <n v="9"/>
    <n v="13"/>
    <n v="3"/>
    <n v="2"/>
    <n v="80"/>
    <n v="1"/>
    <n v="18"/>
    <n v="4"/>
    <n v="13"/>
    <n v="7"/>
    <n v="5"/>
    <n v="7"/>
  </r>
  <r>
    <x v="1"/>
    <s v="Travel_Rarely"/>
    <x v="2"/>
    <s v="Current Employees"/>
    <x v="1"/>
    <x v="0"/>
    <s v="STAFF-1799"/>
    <n v="1799"/>
    <x v="1"/>
    <x v="1"/>
    <x v="1"/>
    <s v="No"/>
    <s v="Y"/>
    <n v="6"/>
    <n v="-2"/>
    <n v="0"/>
    <n v="28"/>
    <n v="0"/>
    <m/>
    <n v="0"/>
    <n v="1"/>
    <n v="1181"/>
    <n v="1"/>
    <x v="3"/>
    <n v="1"/>
    <n v="3"/>
    <n v="82"/>
    <n v="3"/>
    <n v="1"/>
    <n v="4"/>
    <n v="2044"/>
    <n v="5531"/>
    <n v="1"/>
    <n v="11"/>
    <n v="3"/>
    <n v="3"/>
    <n v="80"/>
    <n v="1"/>
    <n v="5"/>
    <n v="4"/>
    <n v="5"/>
    <n v="3"/>
    <n v="0"/>
    <n v="3"/>
  </r>
  <r>
    <x v="1"/>
    <s v="Travel_Rarely"/>
    <x v="2"/>
    <s v="Current Employees"/>
    <x v="1"/>
    <x v="0"/>
    <s v="STAFF-1763"/>
    <n v="1763"/>
    <x v="1"/>
    <x v="4"/>
    <x v="1"/>
    <s v="No"/>
    <s v="Y"/>
    <n v="3"/>
    <n v="-2"/>
    <n v="0"/>
    <n v="30"/>
    <n v="0"/>
    <m/>
    <n v="0"/>
    <n v="1"/>
    <n v="305"/>
    <n v="16"/>
    <x v="3"/>
    <n v="1"/>
    <n v="3"/>
    <n v="58"/>
    <n v="4"/>
    <n v="2"/>
    <n v="3"/>
    <n v="5294"/>
    <n v="9128"/>
    <n v="3"/>
    <n v="16"/>
    <n v="3"/>
    <n v="3"/>
    <n v="80"/>
    <n v="1"/>
    <n v="10"/>
    <n v="3"/>
    <n v="7"/>
    <n v="0"/>
    <n v="1"/>
    <n v="7"/>
  </r>
  <r>
    <x v="1"/>
    <s v="Travel_Rarely"/>
    <x v="4"/>
    <s v="Current Employees"/>
    <x v="1"/>
    <x v="2"/>
    <s v="STAFF-1707"/>
    <n v="1707"/>
    <x v="1"/>
    <x v="1"/>
    <x v="1"/>
    <s v="No"/>
    <s v="Y"/>
    <n v="1"/>
    <n v="-2"/>
    <n v="0"/>
    <n v="24"/>
    <n v="0"/>
    <m/>
    <n v="0"/>
    <n v="1"/>
    <n v="581"/>
    <n v="9"/>
    <x v="3"/>
    <n v="1"/>
    <n v="3"/>
    <n v="62"/>
    <n v="4"/>
    <n v="1"/>
    <n v="3"/>
    <n v="4401"/>
    <n v="17616"/>
    <n v="1"/>
    <n v="16"/>
    <n v="3"/>
    <n v="4"/>
    <n v="80"/>
    <n v="1"/>
    <n v="5"/>
    <n v="3"/>
    <n v="5"/>
    <n v="3"/>
    <n v="0"/>
    <n v="4"/>
  </r>
  <r>
    <x v="1"/>
    <s v="Travel_Rarely"/>
    <x v="0"/>
    <s v="Current Employees"/>
    <x v="1"/>
    <x v="2"/>
    <s v="STAFF-2062"/>
    <n v="2062"/>
    <x v="1"/>
    <x v="4"/>
    <x v="1"/>
    <s v="No"/>
    <s v="Y"/>
    <n v="5"/>
    <n v="-2"/>
    <n v="0"/>
    <n v="39"/>
    <n v="0"/>
    <m/>
    <n v="0"/>
    <n v="1"/>
    <n v="613"/>
    <n v="6"/>
    <x v="1"/>
    <n v="1"/>
    <n v="4"/>
    <n v="42"/>
    <n v="2"/>
    <n v="3"/>
    <n v="3"/>
    <n v="9991"/>
    <n v="21457"/>
    <n v="4"/>
    <n v="15"/>
    <n v="3"/>
    <n v="1"/>
    <n v="80"/>
    <n v="1"/>
    <n v="9"/>
    <n v="3"/>
    <n v="7"/>
    <n v="7"/>
    <n v="1"/>
    <n v="7"/>
  </r>
  <r>
    <x v="1"/>
    <s v="Travel_Rarely"/>
    <x v="0"/>
    <s v="Current Employees"/>
    <x v="1"/>
    <x v="0"/>
    <s v="STAFF-1523"/>
    <n v="1523"/>
    <x v="1"/>
    <x v="7"/>
    <x v="1"/>
    <s v="No"/>
    <s v="Y"/>
    <n v="1"/>
    <n v="-2"/>
    <n v="0"/>
    <n v="44"/>
    <n v="0"/>
    <m/>
    <n v="0"/>
    <n v="1"/>
    <n v="136"/>
    <n v="28"/>
    <x v="3"/>
    <n v="1"/>
    <n v="4"/>
    <n v="32"/>
    <n v="3"/>
    <n v="4"/>
    <n v="3"/>
    <n v="16328"/>
    <n v="22074"/>
    <n v="3"/>
    <n v="13"/>
    <n v="3"/>
    <n v="3"/>
    <n v="80"/>
    <n v="1"/>
    <n v="24"/>
    <n v="4"/>
    <n v="20"/>
    <n v="6"/>
    <n v="14"/>
    <n v="17"/>
  </r>
  <r>
    <x v="1"/>
    <s v="Travel_Rarely"/>
    <x v="0"/>
    <s v="Current Employees"/>
    <x v="1"/>
    <x v="0"/>
    <s v="STAFF-1728"/>
    <n v="1728"/>
    <x v="1"/>
    <x v="3"/>
    <x v="1"/>
    <s v="No"/>
    <s v="Y"/>
    <n v="3"/>
    <n v="-2"/>
    <n v="0"/>
    <n v="35"/>
    <n v="0"/>
    <m/>
    <n v="0"/>
    <n v="1"/>
    <n v="1370"/>
    <n v="27"/>
    <x v="2"/>
    <n v="1"/>
    <n v="4"/>
    <n v="49"/>
    <n v="3"/>
    <n v="2"/>
    <n v="3"/>
    <n v="6883"/>
    <n v="5151"/>
    <n v="2"/>
    <n v="16"/>
    <n v="3"/>
    <n v="2"/>
    <n v="80"/>
    <n v="1"/>
    <n v="17"/>
    <n v="3"/>
    <n v="7"/>
    <n v="7"/>
    <n v="0"/>
    <n v="7"/>
  </r>
  <r>
    <x v="1"/>
    <s v="Travel_Rarely"/>
    <x v="2"/>
    <s v="Current Employees"/>
    <x v="1"/>
    <x v="0"/>
    <s v="STAFF-1798"/>
    <n v="1798"/>
    <x v="1"/>
    <x v="1"/>
    <x v="1"/>
    <s v="No"/>
    <s v="Y"/>
    <n v="1"/>
    <n v="-2"/>
    <n v="0"/>
    <n v="33"/>
    <n v="0"/>
    <m/>
    <n v="0"/>
    <n v="1"/>
    <n v="867"/>
    <n v="8"/>
    <x v="2"/>
    <n v="1"/>
    <n v="4"/>
    <n v="90"/>
    <n v="4"/>
    <n v="1"/>
    <n v="3"/>
    <n v="3143"/>
    <n v="6076"/>
    <n v="6"/>
    <n v="19"/>
    <n v="3"/>
    <n v="2"/>
    <n v="80"/>
    <n v="1"/>
    <n v="14"/>
    <n v="3"/>
    <n v="10"/>
    <n v="8"/>
    <n v="7"/>
    <n v="6"/>
  </r>
  <r>
    <x v="1"/>
    <s v="Travel_Rarely"/>
    <x v="4"/>
    <s v="Current Employees"/>
    <x v="1"/>
    <x v="4"/>
    <s v="STAFF-1592"/>
    <n v="1592"/>
    <x v="1"/>
    <x v="1"/>
    <x v="1"/>
    <s v="No"/>
    <s v="Y"/>
    <n v="2"/>
    <n v="-2"/>
    <n v="0"/>
    <n v="23"/>
    <n v="0"/>
    <m/>
    <n v="0"/>
    <n v="1"/>
    <n v="977"/>
    <n v="10"/>
    <x v="3"/>
    <n v="1"/>
    <n v="4"/>
    <n v="45"/>
    <n v="4"/>
    <n v="1"/>
    <n v="4"/>
    <n v="2073"/>
    <n v="12826"/>
    <n v="2"/>
    <n v="16"/>
    <n v="3"/>
    <n v="4"/>
    <n v="80"/>
    <n v="1"/>
    <n v="4"/>
    <n v="3"/>
    <n v="2"/>
    <n v="2"/>
    <n v="2"/>
    <n v="2"/>
  </r>
  <r>
    <x v="1"/>
    <s v="Travel_Rarely"/>
    <x v="0"/>
    <s v="Current Employees"/>
    <x v="1"/>
    <x v="0"/>
    <s v="STAFF-1682"/>
    <n v="1682"/>
    <x v="1"/>
    <x v="4"/>
    <x v="1"/>
    <s v="No"/>
    <s v="Y"/>
    <n v="2"/>
    <n v="-2"/>
    <n v="0"/>
    <n v="36"/>
    <n v="0"/>
    <m/>
    <n v="0"/>
    <n v="1"/>
    <n v="1351"/>
    <n v="26"/>
    <x v="2"/>
    <n v="1"/>
    <n v="1"/>
    <n v="80"/>
    <n v="3"/>
    <n v="2"/>
    <n v="3"/>
    <n v="5347"/>
    <n v="7419"/>
    <n v="6"/>
    <n v="14"/>
    <n v="3"/>
    <n v="2"/>
    <n v="80"/>
    <n v="2"/>
    <n v="10"/>
    <n v="2"/>
    <n v="3"/>
    <n v="2"/>
    <n v="0"/>
    <n v="2"/>
  </r>
  <r>
    <x v="1"/>
    <s v="Travel_Rarely"/>
    <x v="0"/>
    <s v="Current Employees"/>
    <x v="1"/>
    <x v="0"/>
    <s v="STAFF-2012"/>
    <n v="2012"/>
    <x v="1"/>
    <x v="2"/>
    <x v="1"/>
    <s v="No"/>
    <s v="Y"/>
    <n v="3"/>
    <n v="-2"/>
    <n v="0"/>
    <n v="40"/>
    <n v="0"/>
    <m/>
    <n v="0"/>
    <n v="1"/>
    <n v="543"/>
    <n v="1"/>
    <x v="2"/>
    <n v="1"/>
    <n v="1"/>
    <n v="83"/>
    <n v="3"/>
    <n v="1"/>
    <n v="4"/>
    <n v="2406"/>
    <n v="4060"/>
    <n v="8"/>
    <n v="19"/>
    <n v="3"/>
    <n v="3"/>
    <n v="80"/>
    <n v="2"/>
    <n v="8"/>
    <n v="2"/>
    <n v="1"/>
    <n v="0"/>
    <n v="0"/>
    <n v="0"/>
  </r>
  <r>
    <x v="1"/>
    <s v="Travel_Rarely"/>
    <x v="0"/>
    <s v="Current Employees"/>
    <x v="1"/>
    <x v="2"/>
    <s v="STAFF-1803"/>
    <n v="1803"/>
    <x v="1"/>
    <x v="4"/>
    <x v="1"/>
    <s v="No"/>
    <s v="Y"/>
    <n v="2"/>
    <n v="-2"/>
    <n v="0"/>
    <n v="42"/>
    <n v="0"/>
    <m/>
    <n v="0"/>
    <n v="1"/>
    <n v="1128"/>
    <n v="13"/>
    <x v="3"/>
    <n v="1"/>
    <n v="2"/>
    <n v="95"/>
    <n v="4"/>
    <n v="2"/>
    <n v="3"/>
    <n v="5538"/>
    <n v="5696"/>
    <n v="5"/>
    <n v="18"/>
    <n v="3"/>
    <n v="3"/>
    <n v="80"/>
    <n v="2"/>
    <n v="10"/>
    <n v="2"/>
    <n v="0"/>
    <n v="0"/>
    <n v="0"/>
    <n v="0"/>
  </r>
  <r>
    <x v="1"/>
    <s v="Travel_Rarely"/>
    <x v="0"/>
    <s v="Current Employees"/>
    <x v="1"/>
    <x v="0"/>
    <s v="STAFF-1596"/>
    <n v="1596"/>
    <x v="1"/>
    <x v="2"/>
    <x v="1"/>
    <s v="No"/>
    <s v="Y"/>
    <n v="3"/>
    <n v="-2"/>
    <n v="0"/>
    <n v="35"/>
    <n v="0"/>
    <m/>
    <n v="0"/>
    <n v="1"/>
    <n v="750"/>
    <n v="28"/>
    <x v="3"/>
    <n v="1"/>
    <n v="2"/>
    <n v="46"/>
    <n v="4"/>
    <n v="2"/>
    <n v="3"/>
    <n v="3407"/>
    <n v="25348"/>
    <n v="1"/>
    <n v="17"/>
    <n v="3"/>
    <n v="4"/>
    <n v="80"/>
    <n v="2"/>
    <n v="10"/>
    <n v="2"/>
    <n v="10"/>
    <n v="9"/>
    <n v="6"/>
    <n v="8"/>
  </r>
  <r>
    <x v="1"/>
    <s v="Travel_Rarely"/>
    <x v="2"/>
    <s v="Current Employees"/>
    <x v="1"/>
    <x v="0"/>
    <s v="STAFF-1514"/>
    <n v="1514"/>
    <x v="1"/>
    <x v="3"/>
    <x v="1"/>
    <s v="No"/>
    <s v="Y"/>
    <n v="2"/>
    <n v="-2"/>
    <n v="0"/>
    <n v="28"/>
    <n v="0"/>
    <m/>
    <n v="0"/>
    <n v="1"/>
    <n v="1083"/>
    <n v="29"/>
    <x v="1"/>
    <n v="1"/>
    <n v="3"/>
    <n v="96"/>
    <n v="1"/>
    <n v="2"/>
    <n v="2"/>
    <n v="6549"/>
    <n v="3173"/>
    <n v="1"/>
    <n v="14"/>
    <n v="3"/>
    <n v="2"/>
    <n v="80"/>
    <n v="2"/>
    <n v="8"/>
    <n v="2"/>
    <n v="8"/>
    <n v="6"/>
    <n v="1"/>
    <n v="7"/>
  </r>
  <r>
    <x v="1"/>
    <s v="Travel_Rarely"/>
    <x v="2"/>
    <s v="Current Employees"/>
    <x v="1"/>
    <x v="0"/>
    <s v="STAFF-1558"/>
    <n v="1558"/>
    <x v="1"/>
    <x v="1"/>
    <x v="1"/>
    <s v="No"/>
    <s v="Y"/>
    <n v="2"/>
    <n v="-2"/>
    <n v="0"/>
    <n v="29"/>
    <n v="0"/>
    <m/>
    <n v="0"/>
    <n v="1"/>
    <n v="598"/>
    <n v="9"/>
    <x v="3"/>
    <n v="1"/>
    <n v="3"/>
    <n v="91"/>
    <n v="4"/>
    <n v="1"/>
    <n v="3"/>
    <n v="2451"/>
    <n v="22376"/>
    <n v="6"/>
    <n v="18"/>
    <n v="3"/>
    <n v="1"/>
    <n v="80"/>
    <n v="2"/>
    <n v="5"/>
    <n v="2"/>
    <n v="1"/>
    <n v="0"/>
    <n v="0"/>
    <n v="0"/>
  </r>
  <r>
    <x v="1"/>
    <s v="Travel_Rarely"/>
    <x v="0"/>
    <s v="Current Employees"/>
    <x v="1"/>
    <x v="2"/>
    <s v="STAFF-1618"/>
    <n v="1618"/>
    <x v="1"/>
    <x v="3"/>
    <x v="1"/>
    <s v="No"/>
    <s v="Y"/>
    <n v="3"/>
    <n v="-2"/>
    <n v="0"/>
    <n v="39"/>
    <n v="0"/>
    <m/>
    <n v="0"/>
    <n v="1"/>
    <n v="1387"/>
    <n v="10"/>
    <x v="4"/>
    <n v="1"/>
    <n v="2"/>
    <n v="76"/>
    <n v="3"/>
    <n v="2"/>
    <n v="1"/>
    <n v="5377"/>
    <n v="3835"/>
    <n v="2"/>
    <n v="13"/>
    <n v="3"/>
    <n v="4"/>
    <n v="80"/>
    <n v="3"/>
    <n v="10"/>
    <n v="3"/>
    <n v="7"/>
    <n v="7"/>
    <n v="7"/>
    <n v="7"/>
  </r>
  <r>
    <x v="1"/>
    <s v="Travel_Rarely"/>
    <x v="2"/>
    <s v="Current Employees"/>
    <x v="1"/>
    <x v="2"/>
    <s v="STAFF-1698"/>
    <n v="1698"/>
    <x v="1"/>
    <x v="2"/>
    <x v="1"/>
    <s v="No"/>
    <s v="Y"/>
    <n v="6"/>
    <n v="-2"/>
    <n v="0"/>
    <n v="33"/>
    <n v="0"/>
    <m/>
    <n v="0"/>
    <n v="1"/>
    <n v="267"/>
    <n v="21"/>
    <x v="3"/>
    <n v="1"/>
    <n v="2"/>
    <n v="79"/>
    <n v="4"/>
    <n v="1"/>
    <n v="2"/>
    <n v="2028"/>
    <n v="13637"/>
    <n v="1"/>
    <n v="18"/>
    <n v="3"/>
    <n v="4"/>
    <n v="80"/>
    <n v="3"/>
    <n v="14"/>
    <n v="3"/>
    <n v="14"/>
    <n v="11"/>
    <n v="2"/>
    <n v="13"/>
  </r>
  <r>
    <x v="1"/>
    <s v="Travel_Rarely"/>
    <x v="3"/>
    <s v="Current Employees"/>
    <x v="1"/>
    <x v="2"/>
    <s v="STAFF-1770"/>
    <n v="1770"/>
    <x v="1"/>
    <x v="7"/>
    <x v="1"/>
    <s v="No"/>
    <s v="Y"/>
    <n v="2"/>
    <n v="-2"/>
    <n v="0"/>
    <n v="55"/>
    <n v="0"/>
    <m/>
    <n v="0"/>
    <n v="1"/>
    <n v="478"/>
    <n v="2"/>
    <x v="3"/>
    <n v="1"/>
    <n v="3"/>
    <n v="60"/>
    <n v="2"/>
    <n v="5"/>
    <n v="1"/>
    <n v="19038"/>
    <n v="19805"/>
    <n v="8"/>
    <n v="12"/>
    <n v="3"/>
    <n v="2"/>
    <n v="80"/>
    <n v="3"/>
    <n v="34"/>
    <n v="3"/>
    <n v="1"/>
    <n v="0"/>
    <n v="0"/>
    <n v="0"/>
  </r>
  <r>
    <x v="1"/>
    <s v="Travel_Rarely"/>
    <x v="0"/>
    <s v="Current Employees"/>
    <x v="1"/>
    <x v="0"/>
    <s v="STAFF-1631"/>
    <n v="1631"/>
    <x v="1"/>
    <x v="3"/>
    <x v="1"/>
    <s v="No"/>
    <s v="Y"/>
    <n v="2"/>
    <n v="-2"/>
    <n v="0"/>
    <n v="37"/>
    <n v="0"/>
    <m/>
    <n v="0"/>
    <n v="1"/>
    <n v="671"/>
    <n v="19"/>
    <x v="3"/>
    <n v="1"/>
    <n v="3"/>
    <n v="85"/>
    <n v="3"/>
    <n v="2"/>
    <n v="3"/>
    <n v="5768"/>
    <n v="26493"/>
    <n v="3"/>
    <n v="17"/>
    <n v="3"/>
    <n v="1"/>
    <n v="80"/>
    <n v="3"/>
    <n v="9"/>
    <n v="2"/>
    <n v="4"/>
    <n v="3"/>
    <n v="0"/>
    <n v="2"/>
  </r>
  <r>
    <x v="1"/>
    <s v="Travel_Rarely"/>
    <x v="2"/>
    <s v="Current Employees"/>
    <x v="1"/>
    <x v="2"/>
    <s v="STAFF-1718"/>
    <n v="1718"/>
    <x v="1"/>
    <x v="2"/>
    <x v="1"/>
    <s v="No"/>
    <s v="Y"/>
    <n v="3"/>
    <n v="-2"/>
    <n v="0"/>
    <n v="26"/>
    <n v="0"/>
    <m/>
    <n v="0"/>
    <n v="1"/>
    <n v="390"/>
    <n v="17"/>
    <x v="2"/>
    <n v="1"/>
    <n v="4"/>
    <n v="62"/>
    <n v="1"/>
    <n v="1"/>
    <n v="3"/>
    <n v="2305"/>
    <n v="6217"/>
    <n v="1"/>
    <n v="15"/>
    <n v="3"/>
    <n v="3"/>
    <n v="80"/>
    <n v="3"/>
    <n v="3"/>
    <n v="4"/>
    <n v="3"/>
    <n v="2"/>
    <n v="0"/>
    <n v="2"/>
  </r>
  <r>
    <x v="1"/>
    <s v="Travel_Rarely"/>
    <x v="0"/>
    <s v="Current Employees"/>
    <x v="1"/>
    <x v="0"/>
    <s v="STAFF-1435"/>
    <n v="1435"/>
    <x v="1"/>
    <x v="2"/>
    <x v="0"/>
    <s v="No"/>
    <s v="Y"/>
    <n v="2"/>
    <n v="-2"/>
    <n v="0"/>
    <n v="36"/>
    <n v="0"/>
    <m/>
    <n v="0"/>
    <n v="1"/>
    <n v="172"/>
    <n v="4"/>
    <x v="2"/>
    <n v="1"/>
    <n v="1"/>
    <n v="37"/>
    <n v="2"/>
    <n v="2"/>
    <n v="4"/>
    <n v="5810"/>
    <n v="22604"/>
    <n v="1"/>
    <n v="16"/>
    <n v="3"/>
    <n v="3"/>
    <n v="80"/>
    <n v="0"/>
    <n v="10"/>
    <n v="2"/>
    <n v="10"/>
    <n v="4"/>
    <n v="1"/>
    <n v="8"/>
  </r>
  <r>
    <x v="1"/>
    <s v="Travel_Rarely"/>
    <x v="0"/>
    <s v="Current Employees"/>
    <x v="1"/>
    <x v="0"/>
    <s v="STAFF-1659"/>
    <n v="1659"/>
    <x v="1"/>
    <x v="2"/>
    <x v="0"/>
    <s v="No"/>
    <s v="Y"/>
    <n v="4"/>
    <n v="-2"/>
    <n v="0"/>
    <n v="36"/>
    <n v="0"/>
    <m/>
    <n v="0"/>
    <n v="1"/>
    <n v="311"/>
    <n v="7"/>
    <x v="3"/>
    <n v="1"/>
    <n v="1"/>
    <n v="77"/>
    <n v="3"/>
    <n v="1"/>
    <n v="2"/>
    <n v="2013"/>
    <n v="10950"/>
    <n v="2"/>
    <n v="11"/>
    <n v="3"/>
    <n v="3"/>
    <n v="80"/>
    <n v="0"/>
    <n v="15"/>
    <n v="3"/>
    <n v="4"/>
    <n v="3"/>
    <n v="1"/>
    <n v="3"/>
  </r>
  <r>
    <x v="1"/>
    <s v="Travel_Rarely"/>
    <x v="4"/>
    <s v="Current Employees"/>
    <x v="1"/>
    <x v="0"/>
    <s v="STAFF-1533"/>
    <n v="1533"/>
    <x v="1"/>
    <x v="2"/>
    <x v="0"/>
    <s v="No"/>
    <s v="Y"/>
    <n v="2"/>
    <n v="-2"/>
    <n v="0"/>
    <n v="23"/>
    <n v="0"/>
    <m/>
    <n v="0"/>
    <n v="1"/>
    <n v="507"/>
    <n v="20"/>
    <x v="1"/>
    <n v="1"/>
    <n v="1"/>
    <n v="97"/>
    <n v="3"/>
    <n v="2"/>
    <n v="3"/>
    <n v="2272"/>
    <n v="24812"/>
    <n v="0"/>
    <n v="14"/>
    <n v="3"/>
    <n v="2"/>
    <n v="80"/>
    <n v="0"/>
    <n v="5"/>
    <n v="3"/>
    <n v="4"/>
    <n v="3"/>
    <n v="1"/>
    <n v="2"/>
  </r>
  <r>
    <x v="1"/>
    <s v="Travel_Rarely"/>
    <x v="2"/>
    <s v="Current Employees"/>
    <x v="1"/>
    <x v="2"/>
    <s v="STAFF-1577"/>
    <n v="1577"/>
    <x v="1"/>
    <x v="1"/>
    <x v="0"/>
    <s v="No"/>
    <s v="Y"/>
    <n v="4"/>
    <n v="-2"/>
    <n v="0"/>
    <n v="34"/>
    <n v="0"/>
    <m/>
    <n v="0"/>
    <n v="1"/>
    <n v="479"/>
    <n v="7"/>
    <x v="2"/>
    <n v="1"/>
    <n v="1"/>
    <n v="35"/>
    <n v="3"/>
    <n v="1"/>
    <n v="4"/>
    <n v="2972"/>
    <n v="22061"/>
    <n v="1"/>
    <n v="13"/>
    <n v="3"/>
    <n v="3"/>
    <n v="80"/>
    <n v="0"/>
    <n v="1"/>
    <n v="1"/>
    <n v="1"/>
    <n v="0"/>
    <n v="0"/>
    <n v="0"/>
  </r>
  <r>
    <x v="1"/>
    <s v="Travel_Rarely"/>
    <x v="0"/>
    <s v="Current Employees"/>
    <x v="1"/>
    <x v="0"/>
    <s v="STAFF-2014"/>
    <n v="2014"/>
    <x v="1"/>
    <x v="1"/>
    <x v="0"/>
    <s v="No"/>
    <s v="Y"/>
    <n v="2"/>
    <n v="-2"/>
    <n v="0"/>
    <n v="39"/>
    <n v="0"/>
    <m/>
    <n v="0"/>
    <n v="1"/>
    <n v="116"/>
    <n v="24"/>
    <x v="1"/>
    <n v="1"/>
    <n v="1"/>
    <n v="52"/>
    <n v="3"/>
    <n v="2"/>
    <n v="4"/>
    <n v="4108"/>
    <n v="5340"/>
    <n v="7"/>
    <n v="13"/>
    <n v="3"/>
    <n v="1"/>
    <n v="80"/>
    <n v="0"/>
    <n v="18"/>
    <n v="3"/>
    <n v="7"/>
    <n v="7"/>
    <n v="1"/>
    <n v="7"/>
  </r>
  <r>
    <x v="1"/>
    <s v="Travel_Rarely"/>
    <x v="4"/>
    <s v="Current Employees"/>
    <x v="1"/>
    <x v="0"/>
    <s v="STAFF-1981"/>
    <n v="1981"/>
    <x v="1"/>
    <x v="4"/>
    <x v="0"/>
    <s v="No"/>
    <s v="Y"/>
    <n v="2"/>
    <n v="-2"/>
    <n v="0"/>
    <n v="24"/>
    <n v="0"/>
    <m/>
    <n v="0"/>
    <n v="1"/>
    <n v="771"/>
    <n v="1"/>
    <x v="0"/>
    <n v="1"/>
    <n v="2"/>
    <n v="45"/>
    <n v="2"/>
    <n v="2"/>
    <n v="3"/>
    <n v="4617"/>
    <n v="14120"/>
    <n v="1"/>
    <n v="12"/>
    <n v="3"/>
    <n v="2"/>
    <n v="80"/>
    <n v="0"/>
    <n v="4"/>
    <n v="2"/>
    <n v="4"/>
    <n v="3"/>
    <n v="1"/>
    <n v="2"/>
  </r>
  <r>
    <x v="1"/>
    <s v="Travel_Rarely"/>
    <x v="0"/>
    <s v="Current Employees"/>
    <x v="1"/>
    <x v="2"/>
    <s v="STAFF-2008"/>
    <n v="2008"/>
    <x v="1"/>
    <x v="1"/>
    <x v="0"/>
    <s v="No"/>
    <s v="Y"/>
    <n v="5"/>
    <n v="-2"/>
    <n v="0"/>
    <n v="35"/>
    <n v="0"/>
    <m/>
    <n v="0"/>
    <n v="1"/>
    <n v="1395"/>
    <n v="9"/>
    <x v="2"/>
    <n v="1"/>
    <n v="2"/>
    <n v="48"/>
    <n v="3"/>
    <n v="2"/>
    <n v="3"/>
    <n v="5098"/>
    <n v="18698"/>
    <n v="1"/>
    <n v="19"/>
    <n v="3"/>
    <n v="2"/>
    <n v="80"/>
    <n v="0"/>
    <n v="10"/>
    <n v="3"/>
    <n v="10"/>
    <n v="7"/>
    <n v="0"/>
    <n v="8"/>
  </r>
  <r>
    <x v="1"/>
    <s v="Travel_Rarely"/>
    <x v="0"/>
    <s v="Current Employees"/>
    <x v="1"/>
    <x v="0"/>
    <s v="STAFF-1814"/>
    <n v="1814"/>
    <x v="1"/>
    <x v="4"/>
    <x v="0"/>
    <s v="No"/>
    <s v="Y"/>
    <n v="3"/>
    <n v="-2"/>
    <n v="0"/>
    <n v="41"/>
    <n v="0"/>
    <m/>
    <n v="0"/>
    <n v="1"/>
    <n v="447"/>
    <n v="5"/>
    <x v="3"/>
    <n v="1"/>
    <n v="2"/>
    <n v="85"/>
    <n v="4"/>
    <n v="2"/>
    <n v="2"/>
    <n v="6870"/>
    <n v="15530"/>
    <n v="3"/>
    <n v="12"/>
    <n v="3"/>
    <n v="1"/>
    <n v="80"/>
    <n v="0"/>
    <n v="11"/>
    <n v="1"/>
    <n v="3"/>
    <n v="2"/>
    <n v="1"/>
    <n v="2"/>
  </r>
  <r>
    <x v="1"/>
    <s v="Travel_Rarely"/>
    <x v="0"/>
    <s v="Current Employees"/>
    <x v="1"/>
    <x v="0"/>
    <s v="STAFF-2048"/>
    <n v="2048"/>
    <x v="1"/>
    <x v="1"/>
    <x v="0"/>
    <s v="No"/>
    <s v="Y"/>
    <n v="2"/>
    <n v="-2"/>
    <n v="0"/>
    <n v="40"/>
    <n v="0"/>
    <m/>
    <n v="0"/>
    <n v="1"/>
    <n v="1322"/>
    <n v="2"/>
    <x v="2"/>
    <n v="1"/>
    <n v="3"/>
    <n v="52"/>
    <n v="2"/>
    <n v="1"/>
    <n v="3"/>
    <n v="2809"/>
    <n v="2725"/>
    <n v="2"/>
    <n v="14"/>
    <n v="3"/>
    <n v="4"/>
    <n v="80"/>
    <n v="0"/>
    <n v="8"/>
    <n v="3"/>
    <n v="2"/>
    <n v="2"/>
    <n v="2"/>
    <n v="2"/>
  </r>
  <r>
    <x v="1"/>
    <s v="Travel_Rarely"/>
    <x v="2"/>
    <s v="Current Employees"/>
    <x v="1"/>
    <x v="2"/>
    <s v="STAFF-1952"/>
    <n v="1952"/>
    <x v="1"/>
    <x v="2"/>
    <x v="0"/>
    <s v="No"/>
    <s v="Y"/>
    <n v="6"/>
    <n v="-2"/>
    <n v="0"/>
    <n v="26"/>
    <n v="0"/>
    <m/>
    <n v="0"/>
    <n v="1"/>
    <n v="157"/>
    <n v="1"/>
    <x v="3"/>
    <n v="1"/>
    <n v="3"/>
    <n v="95"/>
    <n v="3"/>
    <n v="1"/>
    <n v="1"/>
    <n v="2867"/>
    <n v="20006"/>
    <n v="0"/>
    <n v="13"/>
    <n v="3"/>
    <n v="4"/>
    <n v="80"/>
    <n v="0"/>
    <n v="8"/>
    <n v="2"/>
    <n v="7"/>
    <n v="7"/>
    <n v="7"/>
    <n v="6"/>
  </r>
  <r>
    <x v="1"/>
    <s v="Travel_Rarely"/>
    <x v="1"/>
    <s v="Current Employees"/>
    <x v="1"/>
    <x v="0"/>
    <s v="STAFF-1727"/>
    <n v="1727"/>
    <x v="1"/>
    <x v="4"/>
    <x v="0"/>
    <s v="No"/>
    <s v="Y"/>
    <n v="3"/>
    <n v="-2"/>
    <n v="0"/>
    <n v="46"/>
    <n v="0"/>
    <m/>
    <n v="0"/>
    <n v="1"/>
    <n v="717"/>
    <n v="13"/>
    <x v="2"/>
    <n v="1"/>
    <n v="3"/>
    <n v="34"/>
    <n v="3"/>
    <n v="2"/>
    <n v="2"/>
    <n v="5562"/>
    <n v="9697"/>
    <n v="6"/>
    <n v="14"/>
    <n v="3"/>
    <n v="4"/>
    <n v="80"/>
    <n v="0"/>
    <n v="19"/>
    <n v="3"/>
    <n v="10"/>
    <n v="7"/>
    <n v="0"/>
    <n v="9"/>
  </r>
  <r>
    <x v="1"/>
    <s v="Travel_Rarely"/>
    <x v="1"/>
    <s v="Current Employees"/>
    <x v="1"/>
    <x v="0"/>
    <s v="STAFF-1677"/>
    <n v="1677"/>
    <x v="1"/>
    <x v="5"/>
    <x v="0"/>
    <s v="No"/>
    <s v="Y"/>
    <n v="2"/>
    <n v="-2"/>
    <n v="0"/>
    <n v="49"/>
    <n v="0"/>
    <m/>
    <n v="0"/>
    <n v="1"/>
    <n v="809"/>
    <n v="1"/>
    <x v="3"/>
    <n v="1"/>
    <n v="3"/>
    <n v="36"/>
    <n v="3"/>
    <n v="4"/>
    <n v="3"/>
    <n v="15379"/>
    <n v="22384"/>
    <n v="4"/>
    <n v="14"/>
    <n v="3"/>
    <n v="1"/>
    <n v="80"/>
    <n v="0"/>
    <n v="23"/>
    <n v="3"/>
    <n v="8"/>
    <n v="7"/>
    <n v="0"/>
    <n v="0"/>
  </r>
  <r>
    <x v="1"/>
    <s v="Travel_Rarely"/>
    <x v="4"/>
    <s v="Current Employees"/>
    <x v="1"/>
    <x v="2"/>
    <s v="STAFF-1623"/>
    <n v="1623"/>
    <x v="1"/>
    <x v="1"/>
    <x v="0"/>
    <s v="No"/>
    <s v="Y"/>
    <n v="2"/>
    <n v="-2"/>
    <n v="0"/>
    <n v="21"/>
    <n v="0"/>
    <m/>
    <n v="0"/>
    <n v="1"/>
    <n v="546"/>
    <n v="5"/>
    <x v="1"/>
    <n v="1"/>
    <n v="3"/>
    <n v="97"/>
    <n v="3"/>
    <n v="1"/>
    <n v="4"/>
    <n v="3117"/>
    <n v="26009"/>
    <n v="1"/>
    <n v="18"/>
    <n v="3"/>
    <n v="3"/>
    <n v="80"/>
    <n v="0"/>
    <n v="3"/>
    <n v="3"/>
    <n v="2"/>
    <n v="2"/>
    <n v="2"/>
    <n v="2"/>
  </r>
  <r>
    <x v="1"/>
    <s v="Travel_Rarely"/>
    <x v="2"/>
    <s v="Current Employees"/>
    <x v="1"/>
    <x v="1"/>
    <s v="STAFF-1417"/>
    <n v="1417"/>
    <x v="1"/>
    <x v="2"/>
    <x v="0"/>
    <s v="No"/>
    <s v="Y"/>
    <n v="2"/>
    <n v="-2"/>
    <n v="0"/>
    <n v="26"/>
    <n v="0"/>
    <m/>
    <n v="0"/>
    <n v="1"/>
    <n v="652"/>
    <n v="7"/>
    <x v="3"/>
    <n v="1"/>
    <n v="3"/>
    <n v="100"/>
    <n v="4"/>
    <n v="1"/>
    <n v="1"/>
    <n v="3578"/>
    <n v="23577"/>
    <n v="0"/>
    <n v="12"/>
    <n v="3"/>
    <n v="4"/>
    <n v="80"/>
    <n v="0"/>
    <n v="8"/>
    <n v="3"/>
    <n v="7"/>
    <n v="7"/>
    <n v="0"/>
    <n v="7"/>
  </r>
  <r>
    <x v="1"/>
    <s v="Travel_Rarely"/>
    <x v="0"/>
    <s v="Current Employees"/>
    <x v="1"/>
    <x v="2"/>
    <s v="STAFF-1564"/>
    <n v="1564"/>
    <x v="1"/>
    <x v="2"/>
    <x v="0"/>
    <s v="No"/>
    <s v="Y"/>
    <n v="3"/>
    <n v="-2"/>
    <n v="0"/>
    <n v="35"/>
    <n v="0"/>
    <m/>
    <n v="0"/>
    <n v="1"/>
    <n v="992"/>
    <n v="1"/>
    <x v="3"/>
    <n v="1"/>
    <n v="4"/>
    <n v="68"/>
    <n v="2"/>
    <n v="1"/>
    <n v="1"/>
    <n v="2450"/>
    <n v="21731"/>
    <n v="1"/>
    <n v="19"/>
    <n v="3"/>
    <n v="2"/>
    <n v="80"/>
    <n v="0"/>
    <n v="3"/>
    <n v="3"/>
    <n v="3"/>
    <n v="0"/>
    <n v="1"/>
    <n v="2"/>
  </r>
  <r>
    <x v="1"/>
    <s v="Travel_Rarely"/>
    <x v="2"/>
    <s v="Current Employees"/>
    <x v="1"/>
    <x v="0"/>
    <s v="STAFF-1545"/>
    <n v="1545"/>
    <x v="1"/>
    <x v="3"/>
    <x v="0"/>
    <s v="No"/>
    <s v="Y"/>
    <n v="2"/>
    <n v="-2"/>
    <n v="0"/>
    <n v="33"/>
    <n v="0"/>
    <m/>
    <n v="0"/>
    <n v="1"/>
    <n v="575"/>
    <n v="25"/>
    <x v="3"/>
    <n v="1"/>
    <n v="4"/>
    <n v="44"/>
    <n v="2"/>
    <n v="2"/>
    <n v="2"/>
    <n v="4320"/>
    <n v="24152"/>
    <n v="1"/>
    <n v="13"/>
    <n v="3"/>
    <n v="4"/>
    <n v="80"/>
    <n v="0"/>
    <n v="5"/>
    <n v="3"/>
    <n v="5"/>
    <n v="3"/>
    <n v="0"/>
    <n v="2"/>
  </r>
  <r>
    <x v="1"/>
    <s v="Travel_Rarely"/>
    <x v="2"/>
    <s v="Current Employees"/>
    <x v="1"/>
    <x v="0"/>
    <s v="STAFF-1883"/>
    <n v="1883"/>
    <x v="1"/>
    <x v="2"/>
    <x v="0"/>
    <s v="No"/>
    <s v="Y"/>
    <n v="2"/>
    <n v="-2"/>
    <n v="0"/>
    <n v="29"/>
    <n v="0"/>
    <m/>
    <n v="0"/>
    <n v="1"/>
    <n v="592"/>
    <n v="7"/>
    <x v="3"/>
    <n v="1"/>
    <n v="4"/>
    <n v="59"/>
    <n v="3"/>
    <n v="1"/>
    <n v="1"/>
    <n v="2062"/>
    <n v="19384"/>
    <n v="3"/>
    <n v="14"/>
    <n v="3"/>
    <n v="2"/>
    <n v="80"/>
    <n v="0"/>
    <n v="11"/>
    <n v="3"/>
    <n v="3"/>
    <n v="2"/>
    <n v="1"/>
    <n v="2"/>
  </r>
  <r>
    <x v="1"/>
    <s v="Travel_Rarely"/>
    <x v="2"/>
    <s v="Current Employees"/>
    <x v="1"/>
    <x v="4"/>
    <s v="STAFF-2038"/>
    <n v="2038"/>
    <x v="1"/>
    <x v="1"/>
    <x v="0"/>
    <s v="No"/>
    <s v="Y"/>
    <n v="4"/>
    <n v="-2"/>
    <n v="0"/>
    <n v="32"/>
    <n v="0"/>
    <m/>
    <n v="0"/>
    <n v="1"/>
    <n v="529"/>
    <n v="2"/>
    <x v="3"/>
    <n v="1"/>
    <n v="4"/>
    <n v="78"/>
    <n v="3"/>
    <n v="1"/>
    <n v="4"/>
    <n v="2439"/>
    <n v="11288"/>
    <n v="1"/>
    <n v="14"/>
    <n v="3"/>
    <n v="4"/>
    <n v="80"/>
    <n v="0"/>
    <n v="4"/>
    <n v="3"/>
    <n v="4"/>
    <n v="2"/>
    <n v="1"/>
    <n v="2"/>
  </r>
  <r>
    <x v="1"/>
    <s v="Travel_Rarely"/>
    <x v="0"/>
    <s v="Current Employees"/>
    <x v="1"/>
    <x v="0"/>
    <s v="STAFF-1475"/>
    <n v="1475"/>
    <x v="1"/>
    <x v="1"/>
    <x v="0"/>
    <s v="No"/>
    <s v="Y"/>
    <n v="3"/>
    <n v="-2"/>
    <n v="0"/>
    <n v="44"/>
    <n v="0"/>
    <m/>
    <n v="0"/>
    <n v="1"/>
    <n v="1467"/>
    <n v="20"/>
    <x v="3"/>
    <n v="1"/>
    <n v="4"/>
    <n v="49"/>
    <n v="3"/>
    <n v="1"/>
    <n v="2"/>
    <n v="3420"/>
    <n v="21158"/>
    <n v="1"/>
    <n v="13"/>
    <n v="3"/>
    <n v="3"/>
    <n v="80"/>
    <n v="0"/>
    <n v="6"/>
    <n v="2"/>
    <n v="5"/>
    <n v="2"/>
    <n v="1"/>
    <n v="3"/>
  </r>
  <r>
    <x v="1"/>
    <s v="Travel_Rarely"/>
    <x v="0"/>
    <s v="Current Employees"/>
    <x v="1"/>
    <x v="0"/>
    <s v="STAFF-1860"/>
    <n v="1860"/>
    <x v="1"/>
    <x v="2"/>
    <x v="0"/>
    <s v="No"/>
    <s v="Y"/>
    <n v="3"/>
    <n v="-2"/>
    <n v="0"/>
    <n v="42"/>
    <n v="0"/>
    <m/>
    <n v="0"/>
    <n v="1"/>
    <n v="1142"/>
    <n v="8"/>
    <x v="3"/>
    <n v="1"/>
    <n v="4"/>
    <n v="81"/>
    <n v="3"/>
    <n v="1"/>
    <n v="3"/>
    <n v="3968"/>
    <n v="13624"/>
    <n v="4"/>
    <n v="13"/>
    <n v="3"/>
    <n v="4"/>
    <n v="80"/>
    <n v="0"/>
    <n v="8"/>
    <n v="3"/>
    <n v="0"/>
    <n v="0"/>
    <n v="0"/>
    <n v="0"/>
  </r>
  <r>
    <x v="1"/>
    <s v="Travel_Rarely"/>
    <x v="4"/>
    <s v="Current Employees"/>
    <x v="1"/>
    <x v="0"/>
    <s v="STAFF-2007"/>
    <n v="2007"/>
    <x v="1"/>
    <x v="1"/>
    <x v="0"/>
    <s v="No"/>
    <s v="Y"/>
    <n v="2"/>
    <n v="-2"/>
    <n v="0"/>
    <n v="22"/>
    <n v="0"/>
    <m/>
    <n v="0"/>
    <n v="1"/>
    <n v="581"/>
    <n v="1"/>
    <x v="0"/>
    <n v="1"/>
    <n v="4"/>
    <n v="63"/>
    <n v="3"/>
    <n v="1"/>
    <n v="3"/>
    <n v="3375"/>
    <n v="17624"/>
    <n v="0"/>
    <n v="12"/>
    <n v="3"/>
    <n v="4"/>
    <n v="80"/>
    <n v="0"/>
    <n v="4"/>
    <n v="4"/>
    <n v="3"/>
    <n v="2"/>
    <n v="1"/>
    <n v="2"/>
  </r>
  <r>
    <x v="1"/>
    <s v="Travel_Rarely"/>
    <x v="4"/>
    <s v="Current Employees"/>
    <x v="1"/>
    <x v="1"/>
    <s v="STAFF-1982"/>
    <n v="1982"/>
    <x v="1"/>
    <x v="2"/>
    <x v="0"/>
    <s v="No"/>
    <s v="Y"/>
    <n v="6"/>
    <n v="-2"/>
    <n v="0"/>
    <n v="23"/>
    <n v="0"/>
    <m/>
    <n v="0"/>
    <n v="1"/>
    <n v="571"/>
    <n v="12"/>
    <x v="0"/>
    <n v="1"/>
    <n v="4"/>
    <n v="78"/>
    <n v="3"/>
    <n v="1"/>
    <n v="4"/>
    <n v="2647"/>
    <n v="13672"/>
    <n v="1"/>
    <n v="13"/>
    <n v="3"/>
    <n v="3"/>
    <n v="80"/>
    <n v="0"/>
    <n v="5"/>
    <n v="4"/>
    <n v="5"/>
    <n v="2"/>
    <n v="1"/>
    <n v="4"/>
  </r>
  <r>
    <x v="1"/>
    <s v="Travel_Rarely"/>
    <x v="1"/>
    <s v="Current Employees"/>
    <x v="1"/>
    <x v="2"/>
    <s v="STAFF-1472"/>
    <n v="1472"/>
    <x v="1"/>
    <x v="7"/>
    <x v="0"/>
    <s v="No"/>
    <s v="Y"/>
    <n v="2"/>
    <n v="-2"/>
    <n v="0"/>
    <n v="53"/>
    <n v="0"/>
    <m/>
    <n v="0"/>
    <n v="1"/>
    <n v="447"/>
    <n v="2"/>
    <x v="3"/>
    <n v="1"/>
    <n v="4"/>
    <n v="39"/>
    <n v="4"/>
    <n v="4"/>
    <n v="2"/>
    <n v="16598"/>
    <n v="19764"/>
    <n v="4"/>
    <n v="12"/>
    <n v="3"/>
    <n v="2"/>
    <n v="80"/>
    <n v="0"/>
    <n v="35"/>
    <n v="2"/>
    <n v="9"/>
    <n v="8"/>
    <n v="8"/>
    <n v="8"/>
  </r>
  <r>
    <x v="1"/>
    <s v="Travel_Rarely"/>
    <x v="2"/>
    <s v="Current Employees"/>
    <x v="0"/>
    <x v="0"/>
    <s v="STAFF-1453"/>
    <n v="1453"/>
    <x v="1"/>
    <x v="0"/>
    <x v="2"/>
    <s v="No"/>
    <s v="Y"/>
    <n v="5"/>
    <n v="-2"/>
    <n v="0"/>
    <n v="31"/>
    <n v="0"/>
    <m/>
    <n v="0"/>
    <n v="1"/>
    <n v="326"/>
    <n v="8"/>
    <x v="0"/>
    <n v="1"/>
    <n v="1"/>
    <n v="31"/>
    <n v="3"/>
    <n v="3"/>
    <n v="4"/>
    <n v="10793"/>
    <n v="8386"/>
    <n v="1"/>
    <n v="18"/>
    <n v="3"/>
    <n v="1"/>
    <n v="80"/>
    <n v="1"/>
    <n v="13"/>
    <n v="3"/>
    <n v="13"/>
    <n v="7"/>
    <n v="9"/>
    <n v="9"/>
  </r>
  <r>
    <x v="1"/>
    <s v="Travel_Rarely"/>
    <x v="2"/>
    <s v="Current Employees"/>
    <x v="0"/>
    <x v="3"/>
    <s v="STAFF-1754"/>
    <n v="1754"/>
    <x v="1"/>
    <x v="0"/>
    <x v="2"/>
    <s v="No"/>
    <s v="Y"/>
    <n v="2"/>
    <n v="-2"/>
    <n v="0"/>
    <n v="30"/>
    <n v="0"/>
    <m/>
    <n v="0"/>
    <n v="1"/>
    <n v="979"/>
    <n v="15"/>
    <x v="0"/>
    <n v="1"/>
    <n v="3"/>
    <n v="94"/>
    <n v="2"/>
    <n v="3"/>
    <n v="2"/>
    <n v="7140"/>
    <n v="3088"/>
    <n v="2"/>
    <n v="11"/>
    <n v="3"/>
    <n v="1"/>
    <n v="80"/>
    <n v="1"/>
    <n v="12"/>
    <n v="3"/>
    <n v="7"/>
    <n v="7"/>
    <n v="1"/>
    <n v="7"/>
  </r>
  <r>
    <x v="1"/>
    <s v="Travel_Rarely"/>
    <x v="0"/>
    <s v="Current Employees"/>
    <x v="0"/>
    <x v="0"/>
    <s v="STAFF-2037"/>
    <n v="2037"/>
    <x v="1"/>
    <x v="0"/>
    <x v="2"/>
    <s v="No"/>
    <s v="Y"/>
    <n v="5"/>
    <n v="-2"/>
    <n v="0"/>
    <n v="41"/>
    <n v="0"/>
    <m/>
    <n v="0"/>
    <n v="1"/>
    <n v="930"/>
    <n v="3"/>
    <x v="3"/>
    <n v="1"/>
    <n v="3"/>
    <n v="57"/>
    <n v="2"/>
    <n v="2"/>
    <n v="2"/>
    <n v="8938"/>
    <n v="12227"/>
    <n v="2"/>
    <n v="11"/>
    <n v="3"/>
    <n v="3"/>
    <n v="80"/>
    <n v="1"/>
    <n v="14"/>
    <n v="3"/>
    <n v="5"/>
    <n v="4"/>
    <n v="0"/>
    <n v="4"/>
  </r>
  <r>
    <x v="1"/>
    <s v="Travel_Rarely"/>
    <x v="2"/>
    <s v="Current Employees"/>
    <x v="0"/>
    <x v="2"/>
    <s v="STAFF-1951"/>
    <n v="1951"/>
    <x v="1"/>
    <x v="0"/>
    <x v="2"/>
    <s v="No"/>
    <s v="Y"/>
    <n v="2"/>
    <n v="-2"/>
    <n v="0"/>
    <n v="34"/>
    <n v="0"/>
    <m/>
    <n v="0"/>
    <n v="1"/>
    <n v="1239"/>
    <n v="13"/>
    <x v="2"/>
    <n v="1"/>
    <n v="4"/>
    <n v="39"/>
    <n v="3"/>
    <n v="3"/>
    <n v="3"/>
    <n v="8628"/>
    <n v="22914"/>
    <n v="1"/>
    <n v="18"/>
    <n v="3"/>
    <n v="3"/>
    <n v="80"/>
    <n v="1"/>
    <n v="9"/>
    <n v="2"/>
    <n v="8"/>
    <n v="7"/>
    <n v="1"/>
    <n v="1"/>
  </r>
  <r>
    <x v="1"/>
    <s v="Travel_Rarely"/>
    <x v="2"/>
    <s v="Current Employees"/>
    <x v="0"/>
    <x v="0"/>
    <s v="STAFF-1497"/>
    <n v="1497"/>
    <x v="1"/>
    <x v="0"/>
    <x v="2"/>
    <s v="No"/>
    <s v="Y"/>
    <n v="3"/>
    <n v="-2"/>
    <n v="0"/>
    <n v="29"/>
    <n v="0"/>
    <m/>
    <n v="0"/>
    <n v="1"/>
    <n v="1246"/>
    <n v="19"/>
    <x v="3"/>
    <n v="1"/>
    <n v="3"/>
    <n v="77"/>
    <n v="2"/>
    <n v="2"/>
    <n v="3"/>
    <n v="8620"/>
    <n v="23757"/>
    <n v="1"/>
    <n v="14"/>
    <n v="3"/>
    <n v="3"/>
    <n v="80"/>
    <n v="2"/>
    <n v="10"/>
    <n v="3"/>
    <n v="10"/>
    <n v="7"/>
    <n v="0"/>
    <n v="4"/>
  </r>
  <r>
    <x v="1"/>
    <s v="Travel_Rarely"/>
    <x v="2"/>
    <s v="Current Employees"/>
    <x v="0"/>
    <x v="2"/>
    <s v="STAFF-1670"/>
    <n v="1670"/>
    <x v="1"/>
    <x v="0"/>
    <x v="2"/>
    <s v="No"/>
    <s v="Y"/>
    <n v="5"/>
    <n v="-2"/>
    <n v="0"/>
    <n v="33"/>
    <n v="0"/>
    <m/>
    <n v="0"/>
    <n v="1"/>
    <n v="392"/>
    <n v="2"/>
    <x v="2"/>
    <n v="1"/>
    <n v="4"/>
    <n v="93"/>
    <n v="3"/>
    <n v="2"/>
    <n v="4"/>
    <n v="5505"/>
    <n v="3921"/>
    <n v="1"/>
    <n v="14"/>
    <n v="3"/>
    <n v="3"/>
    <n v="80"/>
    <n v="2"/>
    <n v="6"/>
    <n v="3"/>
    <n v="6"/>
    <n v="2"/>
    <n v="0"/>
    <n v="4"/>
  </r>
  <r>
    <x v="1"/>
    <s v="Travel_Rarely"/>
    <x v="1"/>
    <s v="Current Employees"/>
    <x v="0"/>
    <x v="3"/>
    <s v="STAFF-1466"/>
    <n v="1466"/>
    <x v="1"/>
    <x v="0"/>
    <x v="2"/>
    <s v="No"/>
    <s v="Y"/>
    <n v="3"/>
    <n v="-2"/>
    <n v="0"/>
    <n v="48"/>
    <n v="0"/>
    <m/>
    <n v="0"/>
    <n v="1"/>
    <n v="1221"/>
    <n v="7"/>
    <x v="3"/>
    <n v="1"/>
    <n v="3"/>
    <n v="96"/>
    <n v="3"/>
    <n v="2"/>
    <n v="2"/>
    <n v="5486"/>
    <n v="24795"/>
    <n v="4"/>
    <n v="11"/>
    <n v="3"/>
    <n v="1"/>
    <n v="80"/>
    <n v="3"/>
    <n v="15"/>
    <n v="3"/>
    <n v="2"/>
    <n v="2"/>
    <n v="2"/>
    <n v="2"/>
  </r>
  <r>
    <x v="1"/>
    <s v="Travel_Rarely"/>
    <x v="0"/>
    <s v="Current Employees"/>
    <x v="0"/>
    <x v="2"/>
    <s v="STAFF-1548"/>
    <n v="1548"/>
    <x v="1"/>
    <x v="0"/>
    <x v="1"/>
    <s v="No"/>
    <s v="Y"/>
    <n v="5"/>
    <n v="-2"/>
    <n v="0"/>
    <n v="40"/>
    <n v="0"/>
    <m/>
    <n v="0"/>
    <n v="1"/>
    <n v="1342"/>
    <n v="9"/>
    <x v="0"/>
    <n v="1"/>
    <n v="1"/>
    <n v="47"/>
    <n v="3"/>
    <n v="2"/>
    <n v="1"/>
    <n v="5473"/>
    <n v="19345"/>
    <n v="0"/>
    <n v="12"/>
    <n v="3"/>
    <n v="4"/>
    <n v="80"/>
    <n v="0"/>
    <n v="9"/>
    <n v="4"/>
    <n v="8"/>
    <n v="4"/>
    <n v="7"/>
    <n v="1"/>
  </r>
  <r>
    <x v="1"/>
    <s v="Travel_Rarely"/>
    <x v="2"/>
    <s v="Current Employees"/>
    <x v="0"/>
    <x v="0"/>
    <s v="STAFF-1560"/>
    <n v="1560"/>
    <x v="1"/>
    <x v="0"/>
    <x v="1"/>
    <s v="No"/>
    <s v="Y"/>
    <n v="6"/>
    <n v="-2"/>
    <n v="0"/>
    <n v="33"/>
    <n v="0"/>
    <m/>
    <n v="0"/>
    <n v="1"/>
    <n v="1242"/>
    <n v="8"/>
    <x v="2"/>
    <n v="1"/>
    <n v="1"/>
    <n v="46"/>
    <n v="3"/>
    <n v="2"/>
    <n v="1"/>
    <n v="6392"/>
    <n v="10589"/>
    <n v="2"/>
    <n v="13"/>
    <n v="3"/>
    <n v="4"/>
    <n v="80"/>
    <n v="1"/>
    <n v="8"/>
    <n v="1"/>
    <n v="2"/>
    <n v="2"/>
    <n v="2"/>
    <n v="2"/>
  </r>
  <r>
    <x v="1"/>
    <s v="Travel_Rarely"/>
    <x v="2"/>
    <s v="Current Employees"/>
    <x v="0"/>
    <x v="0"/>
    <s v="STAFF-1996"/>
    <n v="1996"/>
    <x v="1"/>
    <x v="6"/>
    <x v="1"/>
    <s v="No"/>
    <s v="Y"/>
    <n v="1"/>
    <n v="-2"/>
    <n v="0"/>
    <n v="31"/>
    <n v="0"/>
    <m/>
    <n v="0"/>
    <n v="1"/>
    <n v="1154"/>
    <n v="2"/>
    <x v="0"/>
    <n v="1"/>
    <n v="1"/>
    <n v="54"/>
    <n v="3"/>
    <n v="1"/>
    <n v="3"/>
    <n v="3067"/>
    <n v="6393"/>
    <n v="0"/>
    <n v="19"/>
    <n v="3"/>
    <n v="3"/>
    <n v="80"/>
    <n v="1"/>
    <n v="3"/>
    <n v="3"/>
    <n v="2"/>
    <n v="2"/>
    <n v="1"/>
    <n v="2"/>
  </r>
  <r>
    <x v="1"/>
    <s v="Travel_Rarely"/>
    <x v="2"/>
    <s v="Current Employees"/>
    <x v="0"/>
    <x v="4"/>
    <s v="STAFF-1749"/>
    <n v="1749"/>
    <x v="1"/>
    <x v="0"/>
    <x v="1"/>
    <s v="No"/>
    <s v="Y"/>
    <n v="3"/>
    <n v="-2"/>
    <n v="0"/>
    <n v="31"/>
    <n v="0"/>
    <m/>
    <n v="0"/>
    <n v="1"/>
    <n v="1003"/>
    <n v="5"/>
    <x v="3"/>
    <n v="1"/>
    <n v="4"/>
    <n v="51"/>
    <n v="3"/>
    <n v="2"/>
    <n v="4"/>
    <n v="8346"/>
    <n v="20943"/>
    <n v="1"/>
    <n v="19"/>
    <n v="3"/>
    <n v="3"/>
    <n v="80"/>
    <n v="1"/>
    <n v="6"/>
    <n v="3"/>
    <n v="5"/>
    <n v="2"/>
    <n v="0"/>
    <n v="2"/>
  </r>
  <r>
    <x v="1"/>
    <s v="Travel_Rarely"/>
    <x v="2"/>
    <s v="Current Employees"/>
    <x v="0"/>
    <x v="2"/>
    <s v="STAFF-2013"/>
    <n v="2013"/>
    <x v="1"/>
    <x v="6"/>
    <x v="1"/>
    <s v="No"/>
    <s v="Y"/>
    <n v="2"/>
    <n v="-2"/>
    <n v="0"/>
    <n v="32"/>
    <n v="0"/>
    <m/>
    <n v="0"/>
    <n v="1"/>
    <n v="234"/>
    <n v="1"/>
    <x v="2"/>
    <n v="1"/>
    <n v="2"/>
    <n v="68"/>
    <n v="2"/>
    <n v="1"/>
    <n v="2"/>
    <n v="2269"/>
    <n v="18024"/>
    <n v="0"/>
    <n v="14"/>
    <n v="3"/>
    <n v="2"/>
    <n v="80"/>
    <n v="1"/>
    <n v="3"/>
    <n v="3"/>
    <n v="2"/>
    <n v="2"/>
    <n v="2"/>
    <n v="2"/>
  </r>
  <r>
    <x v="1"/>
    <s v="Travel_Rarely"/>
    <x v="0"/>
    <s v="Current Employees"/>
    <x v="0"/>
    <x v="2"/>
    <s v="STAFF-1945"/>
    <n v="1945"/>
    <x v="1"/>
    <x v="0"/>
    <x v="1"/>
    <s v="No"/>
    <s v="Y"/>
    <n v="2"/>
    <n v="-2"/>
    <n v="0"/>
    <n v="35"/>
    <n v="0"/>
    <m/>
    <n v="0"/>
    <n v="1"/>
    <n v="682"/>
    <n v="18"/>
    <x v="2"/>
    <n v="1"/>
    <n v="2"/>
    <n v="71"/>
    <n v="3"/>
    <n v="2"/>
    <n v="1"/>
    <n v="5561"/>
    <n v="15975"/>
    <n v="0"/>
    <n v="16"/>
    <n v="3"/>
    <n v="4"/>
    <n v="80"/>
    <n v="1"/>
    <n v="6"/>
    <n v="1"/>
    <n v="5"/>
    <n v="3"/>
    <n v="0"/>
    <n v="4"/>
  </r>
  <r>
    <x v="1"/>
    <s v="Travel_Rarely"/>
    <x v="2"/>
    <s v="Current Employees"/>
    <x v="0"/>
    <x v="4"/>
    <s v="STAFF-1568"/>
    <n v="1568"/>
    <x v="1"/>
    <x v="0"/>
    <x v="1"/>
    <s v="No"/>
    <s v="Y"/>
    <n v="3"/>
    <n v="-2"/>
    <n v="0"/>
    <n v="30"/>
    <n v="0"/>
    <m/>
    <n v="0"/>
    <n v="1"/>
    <n v="1288"/>
    <n v="29"/>
    <x v="2"/>
    <n v="1"/>
    <n v="4"/>
    <n v="33"/>
    <n v="3"/>
    <n v="3"/>
    <n v="4"/>
    <n v="9250"/>
    <n v="17799"/>
    <n v="3"/>
    <n v="12"/>
    <n v="3"/>
    <n v="2"/>
    <n v="80"/>
    <n v="1"/>
    <n v="9"/>
    <n v="3"/>
    <n v="4"/>
    <n v="2"/>
    <n v="1"/>
    <n v="3"/>
  </r>
  <r>
    <x v="1"/>
    <s v="Travel_Rarely"/>
    <x v="0"/>
    <s v="Current Employees"/>
    <x v="0"/>
    <x v="0"/>
    <s v="STAFF-1582"/>
    <n v="1582"/>
    <x v="1"/>
    <x v="0"/>
    <x v="1"/>
    <s v="No"/>
    <s v="Y"/>
    <n v="3"/>
    <n v="-2"/>
    <n v="0"/>
    <n v="38"/>
    <n v="0"/>
    <m/>
    <n v="0"/>
    <n v="1"/>
    <n v="1245"/>
    <n v="14"/>
    <x v="3"/>
    <n v="1"/>
    <n v="3"/>
    <n v="80"/>
    <n v="3"/>
    <n v="2"/>
    <n v="2"/>
    <n v="9924"/>
    <n v="12355"/>
    <n v="0"/>
    <n v="11"/>
    <n v="3"/>
    <n v="4"/>
    <n v="80"/>
    <n v="1"/>
    <n v="10"/>
    <n v="3"/>
    <n v="9"/>
    <n v="8"/>
    <n v="7"/>
    <n v="7"/>
  </r>
  <r>
    <x v="1"/>
    <s v="Travel_Rarely"/>
    <x v="2"/>
    <s v="Current Employees"/>
    <x v="0"/>
    <x v="0"/>
    <s v="STAFF-1739"/>
    <n v="1739"/>
    <x v="1"/>
    <x v="0"/>
    <x v="1"/>
    <s v="No"/>
    <s v="Y"/>
    <n v="2"/>
    <n v="-2"/>
    <n v="0"/>
    <n v="32"/>
    <n v="0"/>
    <m/>
    <n v="0"/>
    <n v="1"/>
    <n v="371"/>
    <n v="19"/>
    <x v="3"/>
    <n v="1"/>
    <n v="4"/>
    <n v="80"/>
    <n v="1"/>
    <n v="3"/>
    <n v="3"/>
    <n v="9610"/>
    <n v="3840"/>
    <n v="3"/>
    <n v="13"/>
    <n v="3"/>
    <n v="3"/>
    <n v="80"/>
    <n v="1"/>
    <n v="10"/>
    <n v="1"/>
    <n v="4"/>
    <n v="3"/>
    <n v="0"/>
    <n v="2"/>
  </r>
  <r>
    <x v="1"/>
    <s v="Travel_Rarely"/>
    <x v="0"/>
    <s v="Current Employees"/>
    <x v="0"/>
    <x v="0"/>
    <s v="STAFF-1492"/>
    <n v="1492"/>
    <x v="1"/>
    <x v="6"/>
    <x v="1"/>
    <s v="No"/>
    <s v="Y"/>
    <n v="3"/>
    <n v="-2"/>
    <n v="0"/>
    <n v="35"/>
    <n v="0"/>
    <m/>
    <n v="0"/>
    <n v="1"/>
    <n v="660"/>
    <n v="7"/>
    <x v="1"/>
    <n v="1"/>
    <n v="4"/>
    <n v="76"/>
    <n v="3"/>
    <n v="1"/>
    <n v="3"/>
    <n v="2404"/>
    <n v="16192"/>
    <n v="1"/>
    <n v="13"/>
    <n v="3"/>
    <n v="1"/>
    <n v="80"/>
    <n v="1"/>
    <n v="1"/>
    <n v="3"/>
    <n v="1"/>
    <n v="0"/>
    <n v="0"/>
    <n v="0"/>
  </r>
  <r>
    <x v="1"/>
    <s v="Travel_Rarely"/>
    <x v="2"/>
    <s v="Current Employees"/>
    <x v="0"/>
    <x v="3"/>
    <s v="STAFF-1446"/>
    <n v="1446"/>
    <x v="1"/>
    <x v="0"/>
    <x v="1"/>
    <s v="No"/>
    <s v="Y"/>
    <n v="3"/>
    <n v="-2"/>
    <n v="0"/>
    <n v="32"/>
    <n v="0"/>
    <m/>
    <n v="0"/>
    <n v="1"/>
    <n v="601"/>
    <n v="7"/>
    <x v="4"/>
    <n v="1"/>
    <n v="4"/>
    <n v="97"/>
    <n v="3"/>
    <n v="2"/>
    <n v="2"/>
    <n v="9204"/>
    <n v="23343"/>
    <n v="4"/>
    <n v="12"/>
    <n v="3"/>
    <n v="3"/>
    <n v="80"/>
    <n v="1"/>
    <n v="7"/>
    <n v="2"/>
    <n v="4"/>
    <n v="3"/>
    <n v="0"/>
    <n v="3"/>
  </r>
  <r>
    <x v="1"/>
    <s v="Travel_Rarely"/>
    <x v="0"/>
    <s v="Current Employees"/>
    <x v="0"/>
    <x v="2"/>
    <s v="STAFF-1588"/>
    <n v="1588"/>
    <x v="1"/>
    <x v="0"/>
    <x v="1"/>
    <s v="No"/>
    <s v="Y"/>
    <n v="3"/>
    <n v="-2"/>
    <n v="0"/>
    <n v="39"/>
    <n v="0"/>
    <m/>
    <n v="0"/>
    <n v="1"/>
    <n v="1462"/>
    <n v="6"/>
    <x v="3"/>
    <n v="1"/>
    <n v="4"/>
    <n v="38"/>
    <n v="4"/>
    <n v="3"/>
    <n v="3"/>
    <n v="8237"/>
    <n v="4658"/>
    <n v="2"/>
    <n v="11"/>
    <n v="3"/>
    <n v="1"/>
    <n v="80"/>
    <n v="1"/>
    <n v="11"/>
    <n v="3"/>
    <n v="7"/>
    <n v="6"/>
    <n v="7"/>
    <n v="6"/>
  </r>
  <r>
    <x v="1"/>
    <s v="Travel_Rarely"/>
    <x v="0"/>
    <s v="Current Employees"/>
    <x v="0"/>
    <x v="3"/>
    <s v="STAFF-1787"/>
    <n v="1787"/>
    <x v="1"/>
    <x v="0"/>
    <x v="1"/>
    <s v="No"/>
    <s v="Y"/>
    <n v="2"/>
    <n v="-2"/>
    <n v="0"/>
    <n v="37"/>
    <n v="0"/>
    <m/>
    <n v="0"/>
    <n v="1"/>
    <n v="589"/>
    <n v="9"/>
    <x v="0"/>
    <n v="1"/>
    <n v="2"/>
    <n v="46"/>
    <n v="2"/>
    <n v="2"/>
    <n v="2"/>
    <n v="4189"/>
    <n v="8800"/>
    <n v="1"/>
    <n v="14"/>
    <n v="3"/>
    <n v="1"/>
    <n v="80"/>
    <n v="2"/>
    <n v="5"/>
    <n v="3"/>
    <n v="5"/>
    <n v="2"/>
    <n v="0"/>
    <n v="3"/>
  </r>
  <r>
    <x v="1"/>
    <s v="Travel_Rarely"/>
    <x v="0"/>
    <s v="Current Employees"/>
    <x v="0"/>
    <x v="3"/>
    <s v="STAFF-1908"/>
    <n v="1908"/>
    <x v="1"/>
    <x v="0"/>
    <x v="1"/>
    <s v="No"/>
    <s v="Y"/>
    <n v="1"/>
    <n v="-2"/>
    <n v="0"/>
    <n v="36"/>
    <n v="0"/>
    <m/>
    <n v="0"/>
    <n v="1"/>
    <n v="335"/>
    <n v="17"/>
    <x v="0"/>
    <n v="1"/>
    <n v="3"/>
    <n v="33"/>
    <n v="2"/>
    <n v="2"/>
    <n v="2"/>
    <n v="5507"/>
    <n v="16822"/>
    <n v="2"/>
    <n v="16"/>
    <n v="3"/>
    <n v="3"/>
    <n v="80"/>
    <n v="2"/>
    <n v="12"/>
    <n v="1"/>
    <n v="4"/>
    <n v="2"/>
    <n v="1"/>
    <n v="3"/>
  </r>
  <r>
    <x v="1"/>
    <s v="Travel_Rarely"/>
    <x v="0"/>
    <s v="Current Employees"/>
    <x v="0"/>
    <x v="0"/>
    <s v="STAFF-1995"/>
    <n v="1995"/>
    <x v="1"/>
    <x v="0"/>
    <x v="1"/>
    <s v="No"/>
    <s v="Y"/>
    <n v="3"/>
    <n v="-2"/>
    <n v="0"/>
    <n v="38"/>
    <n v="0"/>
    <m/>
    <n v="0"/>
    <n v="1"/>
    <n v="1321"/>
    <n v="1"/>
    <x v="2"/>
    <n v="1"/>
    <n v="4"/>
    <n v="86"/>
    <n v="3"/>
    <n v="2"/>
    <n v="2"/>
    <n v="4440"/>
    <n v="7636"/>
    <n v="0"/>
    <n v="15"/>
    <n v="3"/>
    <n v="1"/>
    <n v="80"/>
    <n v="2"/>
    <n v="16"/>
    <n v="3"/>
    <n v="15"/>
    <n v="13"/>
    <n v="5"/>
    <n v="8"/>
  </r>
  <r>
    <x v="1"/>
    <s v="Travel_Rarely"/>
    <x v="2"/>
    <s v="Current Employees"/>
    <x v="0"/>
    <x v="0"/>
    <s v="STAFF-1479"/>
    <n v="1479"/>
    <x v="1"/>
    <x v="0"/>
    <x v="1"/>
    <s v="No"/>
    <s v="Y"/>
    <n v="2"/>
    <n v="-2"/>
    <n v="0"/>
    <n v="30"/>
    <n v="0"/>
    <m/>
    <n v="0"/>
    <n v="1"/>
    <n v="1358"/>
    <n v="16"/>
    <x v="1"/>
    <n v="1"/>
    <n v="4"/>
    <n v="96"/>
    <n v="3"/>
    <n v="2"/>
    <n v="3"/>
    <n v="5301"/>
    <n v="2939"/>
    <n v="8"/>
    <n v="15"/>
    <n v="3"/>
    <n v="3"/>
    <n v="80"/>
    <n v="2"/>
    <n v="4"/>
    <n v="2"/>
    <n v="2"/>
    <n v="1"/>
    <n v="2"/>
    <n v="2"/>
  </r>
  <r>
    <x v="1"/>
    <s v="Travel_Rarely"/>
    <x v="0"/>
    <s v="Current Employees"/>
    <x v="0"/>
    <x v="0"/>
    <s v="STAFF-1961"/>
    <n v="1961"/>
    <x v="1"/>
    <x v="6"/>
    <x v="0"/>
    <s v="No"/>
    <s v="Y"/>
    <n v="3"/>
    <n v="-2"/>
    <n v="0"/>
    <n v="38"/>
    <n v="0"/>
    <m/>
    <n v="0"/>
    <n v="1"/>
    <n v="1404"/>
    <n v="1"/>
    <x v="3"/>
    <n v="1"/>
    <n v="1"/>
    <n v="59"/>
    <n v="2"/>
    <n v="1"/>
    <n v="1"/>
    <n v="2858"/>
    <n v="11473"/>
    <n v="4"/>
    <n v="14"/>
    <n v="3"/>
    <n v="1"/>
    <n v="80"/>
    <n v="0"/>
    <n v="20"/>
    <n v="2"/>
    <n v="1"/>
    <n v="0"/>
    <n v="0"/>
    <n v="0"/>
  </r>
  <r>
    <x v="1"/>
    <s v="Travel_Rarely"/>
    <x v="0"/>
    <s v="Current Employees"/>
    <x v="0"/>
    <x v="3"/>
    <s v="STAFF-1975"/>
    <n v="1975"/>
    <x v="1"/>
    <x v="0"/>
    <x v="0"/>
    <s v="No"/>
    <s v="Y"/>
    <n v="3"/>
    <n v="-2"/>
    <n v="0"/>
    <n v="39"/>
    <n v="0"/>
    <m/>
    <n v="0"/>
    <n v="1"/>
    <n v="119"/>
    <n v="15"/>
    <x v="2"/>
    <n v="1"/>
    <n v="2"/>
    <n v="77"/>
    <n v="3"/>
    <n v="4"/>
    <n v="1"/>
    <n v="13341"/>
    <n v="25098"/>
    <n v="0"/>
    <n v="12"/>
    <n v="3"/>
    <n v="1"/>
    <n v="80"/>
    <n v="0"/>
    <n v="21"/>
    <n v="3"/>
    <n v="20"/>
    <n v="8"/>
    <n v="11"/>
    <n v="10"/>
  </r>
  <r>
    <x v="1"/>
    <s v="Travel_Rarely"/>
    <x v="0"/>
    <s v="Current Employees"/>
    <x v="0"/>
    <x v="2"/>
    <s v="STAFF-1740"/>
    <n v="1740"/>
    <x v="1"/>
    <x v="5"/>
    <x v="0"/>
    <s v="No"/>
    <s v="Y"/>
    <n v="3"/>
    <n v="-2"/>
    <n v="0"/>
    <n v="40"/>
    <n v="0"/>
    <m/>
    <n v="0"/>
    <n v="1"/>
    <n v="611"/>
    <n v="7"/>
    <x v="2"/>
    <n v="1"/>
    <n v="2"/>
    <n v="88"/>
    <n v="3"/>
    <n v="5"/>
    <n v="2"/>
    <n v="19833"/>
    <n v="4349"/>
    <n v="1"/>
    <n v="14"/>
    <n v="3"/>
    <n v="2"/>
    <n v="80"/>
    <n v="0"/>
    <n v="21"/>
    <n v="2"/>
    <n v="21"/>
    <n v="8"/>
    <n v="12"/>
    <n v="8"/>
  </r>
  <r>
    <x v="1"/>
    <s v="Travel_Rarely"/>
    <x v="2"/>
    <s v="Current Employees"/>
    <x v="0"/>
    <x v="3"/>
    <s v="STAFF-1924"/>
    <n v="1924"/>
    <x v="1"/>
    <x v="0"/>
    <x v="0"/>
    <s v="No"/>
    <s v="Y"/>
    <n v="2"/>
    <n v="-2"/>
    <n v="0"/>
    <n v="33"/>
    <n v="0"/>
    <m/>
    <n v="0"/>
    <n v="1"/>
    <n v="217"/>
    <n v="10"/>
    <x v="2"/>
    <n v="1"/>
    <n v="2"/>
    <n v="43"/>
    <n v="3"/>
    <n v="2"/>
    <n v="1"/>
    <n v="5487"/>
    <n v="10410"/>
    <n v="1"/>
    <n v="14"/>
    <n v="3"/>
    <n v="2"/>
    <n v="80"/>
    <n v="0"/>
    <n v="10"/>
    <n v="2"/>
    <n v="10"/>
    <n v="4"/>
    <n v="0"/>
    <n v="9"/>
  </r>
  <r>
    <x v="1"/>
    <s v="Travel_Rarely"/>
    <x v="2"/>
    <s v="Current Employees"/>
    <x v="0"/>
    <x v="2"/>
    <s v="STAFF-1650"/>
    <n v="1650"/>
    <x v="1"/>
    <x v="0"/>
    <x v="0"/>
    <s v="No"/>
    <s v="Y"/>
    <n v="2"/>
    <n v="-2"/>
    <n v="0"/>
    <n v="29"/>
    <n v="0"/>
    <m/>
    <n v="0"/>
    <n v="1"/>
    <n v="469"/>
    <n v="10"/>
    <x v="3"/>
    <n v="1"/>
    <n v="3"/>
    <n v="42"/>
    <n v="2"/>
    <n v="2"/>
    <n v="3"/>
    <n v="5869"/>
    <n v="23413"/>
    <n v="9"/>
    <n v="11"/>
    <n v="3"/>
    <n v="3"/>
    <n v="80"/>
    <n v="0"/>
    <n v="8"/>
    <n v="3"/>
    <n v="5"/>
    <n v="2"/>
    <n v="1"/>
    <n v="4"/>
  </r>
  <r>
    <x v="1"/>
    <s v="Travel_Rarely"/>
    <x v="2"/>
    <s v="Current Employees"/>
    <x v="0"/>
    <x v="2"/>
    <s v="STAFF-1836"/>
    <n v="1836"/>
    <x v="1"/>
    <x v="0"/>
    <x v="0"/>
    <s v="No"/>
    <s v="Y"/>
    <n v="4"/>
    <n v="-2"/>
    <n v="0"/>
    <n v="26"/>
    <n v="0"/>
    <m/>
    <n v="0"/>
    <n v="1"/>
    <n v="572"/>
    <n v="10"/>
    <x v="3"/>
    <n v="1"/>
    <n v="3"/>
    <n v="46"/>
    <n v="3"/>
    <n v="2"/>
    <n v="4"/>
    <n v="4684"/>
    <n v="9125"/>
    <n v="1"/>
    <n v="13"/>
    <n v="3"/>
    <n v="1"/>
    <n v="80"/>
    <n v="0"/>
    <n v="5"/>
    <n v="3"/>
    <n v="5"/>
    <n v="3"/>
    <n v="1"/>
    <n v="2"/>
  </r>
  <r>
    <x v="1"/>
    <s v="Travel_Rarely"/>
    <x v="2"/>
    <s v="Current Employees"/>
    <x v="0"/>
    <x v="1"/>
    <s v="STAFF-1478"/>
    <n v="1478"/>
    <x v="1"/>
    <x v="0"/>
    <x v="0"/>
    <s v="No"/>
    <s v="Y"/>
    <n v="2"/>
    <n v="-2"/>
    <n v="0"/>
    <n v="34"/>
    <n v="0"/>
    <m/>
    <n v="0"/>
    <n v="1"/>
    <n v="1326"/>
    <n v="3"/>
    <x v="3"/>
    <n v="1"/>
    <n v="4"/>
    <n v="81"/>
    <n v="1"/>
    <n v="2"/>
    <n v="1"/>
    <n v="4759"/>
    <n v="15891"/>
    <n v="3"/>
    <n v="18"/>
    <n v="3"/>
    <n v="4"/>
    <n v="80"/>
    <n v="0"/>
    <n v="15"/>
    <n v="3"/>
    <n v="13"/>
    <n v="9"/>
    <n v="3"/>
    <n v="12"/>
  </r>
  <r>
    <x v="1"/>
    <s v="Travel_Rarely"/>
    <x v="4"/>
    <s v="Current Employees"/>
    <x v="0"/>
    <x v="0"/>
    <s v="STAFF-1680"/>
    <n v="1680"/>
    <x v="1"/>
    <x v="6"/>
    <x v="0"/>
    <s v="No"/>
    <s v="Y"/>
    <n v="3"/>
    <n v="-2"/>
    <n v="0"/>
    <n v="20"/>
    <n v="0"/>
    <m/>
    <n v="0"/>
    <n v="1"/>
    <n v="727"/>
    <n v="9"/>
    <x v="1"/>
    <n v="1"/>
    <n v="4"/>
    <n v="54"/>
    <n v="3"/>
    <n v="1"/>
    <n v="1"/>
    <n v="2728"/>
    <n v="21082"/>
    <n v="1"/>
    <n v="11"/>
    <n v="3"/>
    <n v="1"/>
    <n v="80"/>
    <n v="0"/>
    <n v="2"/>
    <n v="3"/>
    <n v="2"/>
    <n v="2"/>
    <n v="0"/>
    <n v="2"/>
  </r>
  <r>
    <x v="1"/>
    <s v="Travel_Rarely"/>
    <x v="2"/>
    <s v="Current Employees"/>
    <x v="0"/>
    <x v="2"/>
    <s v="STAFF-1469"/>
    <n v="1469"/>
    <x v="1"/>
    <x v="0"/>
    <x v="0"/>
    <s v="No"/>
    <s v="Y"/>
    <n v="4"/>
    <n v="-2"/>
    <n v="0"/>
    <n v="28"/>
    <n v="0"/>
    <m/>
    <n v="0"/>
    <n v="1"/>
    <n v="866"/>
    <n v="5"/>
    <x v="3"/>
    <n v="1"/>
    <n v="4"/>
    <n v="84"/>
    <n v="3"/>
    <n v="2"/>
    <n v="1"/>
    <n v="8463"/>
    <n v="23490"/>
    <n v="0"/>
    <n v="18"/>
    <n v="3"/>
    <n v="4"/>
    <n v="80"/>
    <n v="0"/>
    <n v="6"/>
    <n v="3"/>
    <n v="5"/>
    <n v="4"/>
    <n v="1"/>
    <n v="3"/>
  </r>
  <r>
    <x v="1"/>
    <s v="Travel_Rarely"/>
    <x v="0"/>
    <s v="Current Employees"/>
    <x v="0"/>
    <x v="3"/>
    <s v="STAFF-1708"/>
    <n v="1708"/>
    <x v="1"/>
    <x v="0"/>
    <x v="0"/>
    <s v="No"/>
    <s v="Y"/>
    <n v="3"/>
    <n v="-2"/>
    <n v="0"/>
    <n v="41"/>
    <n v="0"/>
    <m/>
    <n v="0"/>
    <n v="1"/>
    <n v="918"/>
    <n v="6"/>
    <x v="3"/>
    <n v="1"/>
    <n v="4"/>
    <n v="35"/>
    <n v="3"/>
    <n v="3"/>
    <n v="1"/>
    <n v="9241"/>
    <n v="15869"/>
    <n v="1"/>
    <n v="12"/>
    <n v="3"/>
    <n v="2"/>
    <n v="80"/>
    <n v="0"/>
    <n v="10"/>
    <n v="3"/>
    <n v="10"/>
    <n v="8"/>
    <n v="8"/>
    <n v="7"/>
  </r>
  <r>
    <x v="1"/>
    <s v="Travel_Rarely"/>
    <x v="2"/>
    <s v="Current Employees"/>
    <x v="0"/>
    <x v="3"/>
    <s v="STAFF-1965"/>
    <n v="1965"/>
    <x v="1"/>
    <x v="0"/>
    <x v="0"/>
    <s v="No"/>
    <s v="Y"/>
    <n v="5"/>
    <n v="-2"/>
    <n v="0"/>
    <n v="27"/>
    <n v="0"/>
    <m/>
    <n v="0"/>
    <n v="1"/>
    <n v="954"/>
    <n v="9"/>
    <x v="3"/>
    <n v="1"/>
    <n v="4"/>
    <n v="44"/>
    <n v="3"/>
    <n v="2"/>
    <n v="1"/>
    <n v="4105"/>
    <n v="5099"/>
    <n v="1"/>
    <n v="14"/>
    <n v="3"/>
    <n v="1"/>
    <n v="80"/>
    <n v="0"/>
    <n v="7"/>
    <n v="3"/>
    <n v="7"/>
    <n v="7"/>
    <n v="0"/>
    <n v="7"/>
  </r>
  <r>
    <x v="1"/>
    <s v="Travel_Rarely"/>
    <x v="1"/>
    <s v="Current Employees"/>
    <x v="0"/>
    <x v="0"/>
    <s v="STAFF-1602"/>
    <n v="1602"/>
    <x v="1"/>
    <x v="5"/>
    <x v="0"/>
    <s v="No"/>
    <s v="Y"/>
    <n v="5"/>
    <n v="-2"/>
    <n v="0"/>
    <n v="46"/>
    <n v="0"/>
    <m/>
    <n v="0"/>
    <n v="1"/>
    <n v="563"/>
    <n v="1"/>
    <x v="2"/>
    <n v="1"/>
    <n v="4"/>
    <n v="56"/>
    <n v="4"/>
    <n v="4"/>
    <n v="1"/>
    <n v="17567"/>
    <n v="3156"/>
    <n v="1"/>
    <n v="15"/>
    <n v="3"/>
    <n v="2"/>
    <n v="80"/>
    <n v="0"/>
    <n v="27"/>
    <n v="1"/>
    <n v="26"/>
    <n v="0"/>
    <n v="0"/>
    <n v="12"/>
  </r>
  <r>
    <x v="1"/>
    <s v="Non-Travel"/>
    <x v="4"/>
    <s v="Current Employees"/>
    <x v="1"/>
    <x v="1"/>
    <s v="STAFF-1605"/>
    <n v="1605"/>
    <x v="0"/>
    <x v="1"/>
    <x v="1"/>
    <s v="Yes"/>
    <s v="Y"/>
    <n v="2"/>
    <n v="-2"/>
    <n v="0"/>
    <n v="22"/>
    <n v="0"/>
    <m/>
    <n v="0"/>
    <n v="1"/>
    <n v="457"/>
    <n v="26"/>
    <x v="0"/>
    <n v="1"/>
    <n v="2"/>
    <n v="85"/>
    <n v="2"/>
    <n v="1"/>
    <n v="3"/>
    <n v="2814"/>
    <n v="10293"/>
    <n v="1"/>
    <n v="14"/>
    <n v="3"/>
    <n v="2"/>
    <n v="80"/>
    <n v="0"/>
    <n v="4"/>
    <n v="2"/>
    <n v="4"/>
    <n v="2"/>
    <n v="1"/>
    <n v="3"/>
  </r>
  <r>
    <x v="1"/>
    <s v="Travel_Frequently"/>
    <x v="0"/>
    <s v="Current Employees"/>
    <x v="1"/>
    <x v="2"/>
    <s v="STAFF-1937"/>
    <n v="1937"/>
    <x v="0"/>
    <x v="1"/>
    <x v="2"/>
    <s v="Yes"/>
    <s v="Y"/>
    <n v="3"/>
    <n v="-2"/>
    <n v="0"/>
    <n v="38"/>
    <n v="0"/>
    <m/>
    <n v="0"/>
    <n v="1"/>
    <n v="1394"/>
    <n v="8"/>
    <x v="3"/>
    <n v="1"/>
    <n v="4"/>
    <n v="58"/>
    <n v="2"/>
    <n v="2"/>
    <n v="2"/>
    <n v="2133"/>
    <n v="18115"/>
    <n v="1"/>
    <n v="16"/>
    <n v="3"/>
    <n v="3"/>
    <n v="80"/>
    <n v="1"/>
    <n v="20"/>
    <n v="3"/>
    <n v="20"/>
    <n v="11"/>
    <n v="0"/>
    <n v="7"/>
  </r>
  <r>
    <x v="1"/>
    <s v="Travel_Frequently"/>
    <x v="4"/>
    <s v="Current Employees"/>
    <x v="1"/>
    <x v="4"/>
    <s v="STAFF-1646"/>
    <n v="1646"/>
    <x v="0"/>
    <x v="1"/>
    <x v="0"/>
    <s v="Yes"/>
    <s v="Y"/>
    <n v="2"/>
    <n v="-2"/>
    <n v="0"/>
    <n v="24"/>
    <n v="0"/>
    <m/>
    <n v="0"/>
    <n v="1"/>
    <n v="567"/>
    <n v="2"/>
    <x v="1"/>
    <n v="1"/>
    <n v="4"/>
    <n v="32"/>
    <n v="3"/>
    <n v="1"/>
    <n v="4"/>
    <n v="3760"/>
    <n v="17218"/>
    <n v="1"/>
    <n v="13"/>
    <n v="3"/>
    <n v="3"/>
    <n v="80"/>
    <n v="0"/>
    <n v="6"/>
    <n v="3"/>
    <n v="6"/>
    <n v="3"/>
    <n v="1"/>
    <n v="3"/>
  </r>
  <r>
    <x v="1"/>
    <s v="Travel_Frequently"/>
    <x v="2"/>
    <s v="Current Employees"/>
    <x v="1"/>
    <x v="0"/>
    <s v="STAFF-1850"/>
    <n v="1850"/>
    <x v="0"/>
    <x v="2"/>
    <x v="0"/>
    <s v="Yes"/>
    <s v="Y"/>
    <n v="3"/>
    <n v="-2"/>
    <n v="0"/>
    <n v="27"/>
    <n v="0"/>
    <m/>
    <n v="0"/>
    <n v="1"/>
    <n v="1297"/>
    <n v="5"/>
    <x v="0"/>
    <n v="1"/>
    <n v="4"/>
    <n v="53"/>
    <n v="3"/>
    <n v="1"/>
    <n v="4"/>
    <n v="2379"/>
    <n v="19826"/>
    <n v="0"/>
    <n v="14"/>
    <n v="3"/>
    <n v="3"/>
    <n v="80"/>
    <n v="0"/>
    <n v="6"/>
    <n v="2"/>
    <n v="5"/>
    <n v="4"/>
    <n v="0"/>
    <n v="2"/>
  </r>
  <r>
    <x v="1"/>
    <s v="Travel_Rarely"/>
    <x v="0"/>
    <s v="Current Employees"/>
    <x v="2"/>
    <x v="0"/>
    <s v="STAFF-1683"/>
    <n v="1683"/>
    <x v="0"/>
    <x v="8"/>
    <x v="2"/>
    <s v="Yes"/>
    <s v="Y"/>
    <n v="2"/>
    <n v="-2"/>
    <n v="0"/>
    <n v="44"/>
    <n v="0"/>
    <m/>
    <n v="0"/>
    <n v="1"/>
    <n v="528"/>
    <n v="1"/>
    <x v="3"/>
    <n v="1"/>
    <n v="3"/>
    <n v="44"/>
    <n v="3"/>
    <n v="1"/>
    <n v="4"/>
    <n v="3195"/>
    <n v="4167"/>
    <n v="4"/>
    <n v="18"/>
    <n v="3"/>
    <n v="1"/>
    <n v="80"/>
    <n v="3"/>
    <n v="8"/>
    <n v="3"/>
    <n v="2"/>
    <n v="2"/>
    <n v="2"/>
    <n v="2"/>
  </r>
  <r>
    <x v="1"/>
    <s v="Travel_Rarely"/>
    <x v="0"/>
    <s v="Current Employees"/>
    <x v="2"/>
    <x v="0"/>
    <s v="STAFF-2040"/>
    <n v="2040"/>
    <x v="0"/>
    <x v="8"/>
    <x v="0"/>
    <s v="Yes"/>
    <s v="Y"/>
    <n v="2"/>
    <n v="-2"/>
    <n v="0"/>
    <n v="35"/>
    <n v="0"/>
    <m/>
    <n v="0"/>
    <n v="1"/>
    <n v="1146"/>
    <n v="26"/>
    <x v="2"/>
    <n v="1"/>
    <n v="3"/>
    <n v="31"/>
    <n v="3"/>
    <n v="3"/>
    <n v="4"/>
    <n v="8837"/>
    <n v="16642"/>
    <n v="1"/>
    <n v="16"/>
    <n v="3"/>
    <n v="3"/>
    <n v="80"/>
    <n v="0"/>
    <n v="9"/>
    <n v="3"/>
    <n v="9"/>
    <n v="0"/>
    <n v="1"/>
    <n v="7"/>
  </r>
  <r>
    <x v="1"/>
    <s v="Travel_Rarely"/>
    <x v="0"/>
    <s v="Current Employees"/>
    <x v="1"/>
    <x v="2"/>
    <s v="STAFF-1608"/>
    <n v="1608"/>
    <x v="0"/>
    <x v="7"/>
    <x v="2"/>
    <s v="Yes"/>
    <s v="Y"/>
    <n v="4"/>
    <n v="-2"/>
    <n v="0"/>
    <n v="44"/>
    <n v="0"/>
    <m/>
    <n v="0"/>
    <n v="1"/>
    <n v="1313"/>
    <n v="7"/>
    <x v="3"/>
    <n v="1"/>
    <n v="2"/>
    <n v="31"/>
    <n v="3"/>
    <n v="5"/>
    <n v="4"/>
    <n v="19049"/>
    <n v="3549"/>
    <n v="0"/>
    <n v="14"/>
    <n v="3"/>
    <n v="4"/>
    <n v="80"/>
    <n v="1"/>
    <n v="23"/>
    <n v="2"/>
    <n v="22"/>
    <n v="7"/>
    <n v="1"/>
    <n v="10"/>
  </r>
  <r>
    <x v="1"/>
    <s v="Travel_Rarely"/>
    <x v="1"/>
    <s v="Current Employees"/>
    <x v="1"/>
    <x v="0"/>
    <s v="STAFF-1827"/>
    <n v="1827"/>
    <x v="0"/>
    <x v="3"/>
    <x v="2"/>
    <s v="Yes"/>
    <s v="Y"/>
    <n v="4"/>
    <n v="-2"/>
    <n v="0"/>
    <n v="47"/>
    <n v="0"/>
    <m/>
    <n v="0"/>
    <n v="1"/>
    <n v="1001"/>
    <n v="4"/>
    <x v="3"/>
    <n v="1"/>
    <n v="3"/>
    <n v="92"/>
    <n v="2"/>
    <n v="3"/>
    <n v="2"/>
    <n v="10333"/>
    <n v="19271"/>
    <n v="8"/>
    <n v="12"/>
    <n v="3"/>
    <n v="3"/>
    <n v="80"/>
    <n v="1"/>
    <n v="28"/>
    <n v="3"/>
    <n v="22"/>
    <n v="11"/>
    <n v="14"/>
    <n v="10"/>
  </r>
  <r>
    <x v="1"/>
    <s v="Travel_Rarely"/>
    <x v="1"/>
    <s v="Current Employees"/>
    <x v="1"/>
    <x v="2"/>
    <s v="STAFF-1674"/>
    <n v="1674"/>
    <x v="0"/>
    <x v="2"/>
    <x v="2"/>
    <s v="Yes"/>
    <s v="Y"/>
    <n v="2"/>
    <n v="-2"/>
    <n v="0"/>
    <n v="49"/>
    <n v="0"/>
    <m/>
    <n v="0"/>
    <n v="1"/>
    <n v="464"/>
    <n v="16"/>
    <x v="3"/>
    <n v="1"/>
    <n v="4"/>
    <n v="74"/>
    <n v="3"/>
    <n v="1"/>
    <n v="1"/>
    <n v="2587"/>
    <n v="24941"/>
    <n v="4"/>
    <n v="16"/>
    <n v="3"/>
    <n v="2"/>
    <n v="80"/>
    <n v="1"/>
    <n v="17"/>
    <n v="2"/>
    <n v="2"/>
    <n v="2"/>
    <n v="2"/>
    <n v="2"/>
  </r>
  <r>
    <x v="1"/>
    <s v="Travel_Rarely"/>
    <x v="2"/>
    <s v="Current Employees"/>
    <x v="1"/>
    <x v="2"/>
    <s v="STAFF-1974"/>
    <n v="1974"/>
    <x v="0"/>
    <x v="2"/>
    <x v="2"/>
    <s v="Yes"/>
    <s v="Y"/>
    <n v="4"/>
    <n v="-2"/>
    <n v="0"/>
    <n v="31"/>
    <n v="0"/>
    <m/>
    <n v="0"/>
    <n v="1"/>
    <n v="1276"/>
    <n v="2"/>
    <x v="1"/>
    <n v="1"/>
    <n v="4"/>
    <n v="59"/>
    <n v="1"/>
    <n v="1"/>
    <n v="4"/>
    <n v="1129"/>
    <n v="17536"/>
    <n v="1"/>
    <n v="11"/>
    <n v="3"/>
    <n v="3"/>
    <n v="80"/>
    <n v="3"/>
    <n v="1"/>
    <n v="3"/>
    <n v="1"/>
    <n v="0"/>
    <n v="0"/>
    <n v="0"/>
  </r>
  <r>
    <x v="1"/>
    <s v="Travel_Rarely"/>
    <x v="0"/>
    <s v="Current Employees"/>
    <x v="1"/>
    <x v="1"/>
    <s v="STAFF-1886"/>
    <n v="1886"/>
    <x v="0"/>
    <x v="3"/>
    <x v="1"/>
    <s v="Yes"/>
    <s v="Y"/>
    <n v="2"/>
    <n v="-2"/>
    <n v="0"/>
    <n v="35"/>
    <n v="0"/>
    <m/>
    <n v="0"/>
    <n v="1"/>
    <n v="219"/>
    <n v="16"/>
    <x v="0"/>
    <n v="1"/>
    <n v="4"/>
    <n v="44"/>
    <n v="2"/>
    <n v="2"/>
    <n v="2"/>
    <n v="4788"/>
    <n v="25388"/>
    <n v="0"/>
    <n v="11"/>
    <n v="3"/>
    <n v="4"/>
    <n v="80"/>
    <n v="0"/>
    <n v="4"/>
    <n v="3"/>
    <n v="3"/>
    <n v="2"/>
    <n v="0"/>
    <n v="2"/>
  </r>
  <r>
    <x v="1"/>
    <s v="Travel_Rarely"/>
    <x v="2"/>
    <s v="Current Employees"/>
    <x v="1"/>
    <x v="0"/>
    <s v="STAFF-1893"/>
    <n v="1893"/>
    <x v="0"/>
    <x v="1"/>
    <x v="1"/>
    <s v="Yes"/>
    <s v="Y"/>
    <n v="3"/>
    <n v="-2"/>
    <n v="0"/>
    <n v="26"/>
    <n v="0"/>
    <m/>
    <n v="0"/>
    <n v="1"/>
    <n v="482"/>
    <n v="1"/>
    <x v="0"/>
    <n v="1"/>
    <n v="2"/>
    <n v="90"/>
    <n v="2"/>
    <n v="1"/>
    <n v="3"/>
    <n v="2933"/>
    <n v="14908"/>
    <n v="1"/>
    <n v="13"/>
    <n v="3"/>
    <n v="3"/>
    <n v="80"/>
    <n v="1"/>
    <n v="1"/>
    <n v="2"/>
    <n v="1"/>
    <n v="0"/>
    <n v="1"/>
    <n v="0"/>
  </r>
  <r>
    <x v="1"/>
    <s v="Travel_Rarely"/>
    <x v="0"/>
    <s v="Current Employees"/>
    <x v="1"/>
    <x v="0"/>
    <s v="STAFF-1724"/>
    <n v="1724"/>
    <x v="0"/>
    <x v="3"/>
    <x v="1"/>
    <s v="Yes"/>
    <s v="Y"/>
    <n v="3"/>
    <n v="-2"/>
    <n v="0"/>
    <n v="40"/>
    <n v="0"/>
    <m/>
    <n v="0"/>
    <n v="1"/>
    <n v="369"/>
    <n v="8"/>
    <x v="0"/>
    <n v="1"/>
    <n v="2"/>
    <n v="92"/>
    <n v="3"/>
    <n v="2"/>
    <n v="1"/>
    <n v="6516"/>
    <n v="5041"/>
    <n v="2"/>
    <n v="16"/>
    <n v="3"/>
    <n v="2"/>
    <n v="80"/>
    <n v="1"/>
    <n v="18"/>
    <n v="3"/>
    <n v="1"/>
    <n v="0"/>
    <n v="0"/>
    <n v="0"/>
  </r>
  <r>
    <x v="1"/>
    <s v="Travel_Rarely"/>
    <x v="2"/>
    <s v="Current Employees"/>
    <x v="1"/>
    <x v="2"/>
    <s v="STAFF-2009"/>
    <n v="2009"/>
    <x v="0"/>
    <x v="4"/>
    <x v="1"/>
    <s v="Yes"/>
    <s v="Y"/>
    <n v="6"/>
    <n v="-2"/>
    <n v="0"/>
    <n v="33"/>
    <n v="0"/>
    <m/>
    <n v="0"/>
    <n v="1"/>
    <n v="501"/>
    <n v="15"/>
    <x v="0"/>
    <n v="1"/>
    <n v="2"/>
    <n v="95"/>
    <n v="3"/>
    <n v="2"/>
    <n v="4"/>
    <n v="4878"/>
    <n v="21653"/>
    <n v="0"/>
    <n v="13"/>
    <n v="3"/>
    <n v="1"/>
    <n v="80"/>
    <n v="1"/>
    <n v="10"/>
    <n v="3"/>
    <n v="9"/>
    <n v="7"/>
    <n v="8"/>
    <n v="1"/>
  </r>
  <r>
    <x v="1"/>
    <s v="Travel_Rarely"/>
    <x v="1"/>
    <s v="Current Employees"/>
    <x v="1"/>
    <x v="0"/>
    <s v="STAFF-1661"/>
    <n v="1661"/>
    <x v="0"/>
    <x v="4"/>
    <x v="1"/>
    <s v="Yes"/>
    <s v="Y"/>
    <n v="3"/>
    <n v="-2"/>
    <n v="0"/>
    <n v="49"/>
    <n v="0"/>
    <m/>
    <n v="0"/>
    <n v="1"/>
    <n v="465"/>
    <n v="6"/>
    <x v="1"/>
    <n v="1"/>
    <n v="3"/>
    <n v="41"/>
    <n v="2"/>
    <n v="4"/>
    <n v="3"/>
    <n v="13966"/>
    <n v="11652"/>
    <n v="2"/>
    <n v="19"/>
    <n v="3"/>
    <n v="2"/>
    <n v="80"/>
    <n v="1"/>
    <n v="30"/>
    <n v="3"/>
    <n v="15"/>
    <n v="11"/>
    <n v="2"/>
    <n v="12"/>
  </r>
  <r>
    <x v="1"/>
    <s v="Travel_Rarely"/>
    <x v="0"/>
    <s v="Current Employees"/>
    <x v="1"/>
    <x v="0"/>
    <s v="STAFF-1703"/>
    <n v="1703"/>
    <x v="0"/>
    <x v="4"/>
    <x v="1"/>
    <s v="Yes"/>
    <s v="Y"/>
    <n v="2"/>
    <n v="-2"/>
    <n v="0"/>
    <n v="44"/>
    <n v="0"/>
    <m/>
    <n v="0"/>
    <n v="1"/>
    <n v="921"/>
    <n v="2"/>
    <x v="3"/>
    <n v="1"/>
    <n v="3"/>
    <n v="96"/>
    <n v="4"/>
    <n v="3"/>
    <n v="4"/>
    <n v="7879"/>
    <n v="14810"/>
    <n v="1"/>
    <n v="19"/>
    <n v="3"/>
    <n v="2"/>
    <n v="80"/>
    <n v="1"/>
    <n v="9"/>
    <n v="3"/>
    <n v="8"/>
    <n v="7"/>
    <n v="6"/>
    <n v="7"/>
  </r>
  <r>
    <x v="1"/>
    <s v="Travel_Rarely"/>
    <x v="0"/>
    <s v="Current Employees"/>
    <x v="1"/>
    <x v="2"/>
    <s v="STAFF-1638"/>
    <n v="1638"/>
    <x v="0"/>
    <x v="3"/>
    <x v="1"/>
    <s v="Yes"/>
    <s v="Y"/>
    <n v="6"/>
    <n v="-2"/>
    <n v="0"/>
    <n v="38"/>
    <n v="0"/>
    <m/>
    <n v="0"/>
    <n v="1"/>
    <n v="397"/>
    <n v="2"/>
    <x v="0"/>
    <n v="1"/>
    <n v="4"/>
    <n v="54"/>
    <n v="2"/>
    <n v="3"/>
    <n v="3"/>
    <n v="7756"/>
    <n v="14199"/>
    <n v="3"/>
    <n v="19"/>
    <n v="3"/>
    <n v="4"/>
    <n v="80"/>
    <n v="1"/>
    <n v="10"/>
    <n v="4"/>
    <n v="5"/>
    <n v="4"/>
    <n v="0"/>
    <n v="2"/>
  </r>
  <r>
    <x v="1"/>
    <s v="Travel_Rarely"/>
    <x v="0"/>
    <s v="Current Employees"/>
    <x v="1"/>
    <x v="0"/>
    <s v="STAFF-1614"/>
    <n v="1614"/>
    <x v="0"/>
    <x v="3"/>
    <x v="1"/>
    <s v="Yes"/>
    <s v="Y"/>
    <n v="2"/>
    <n v="-2"/>
    <n v="0"/>
    <n v="36"/>
    <n v="0"/>
    <m/>
    <n v="0"/>
    <n v="1"/>
    <n v="559"/>
    <n v="12"/>
    <x v="2"/>
    <n v="1"/>
    <n v="3"/>
    <n v="76"/>
    <n v="3"/>
    <n v="2"/>
    <n v="3"/>
    <n v="4663"/>
    <n v="12421"/>
    <n v="9"/>
    <n v="12"/>
    <n v="3"/>
    <n v="2"/>
    <n v="80"/>
    <n v="2"/>
    <n v="7"/>
    <n v="3"/>
    <n v="3"/>
    <n v="2"/>
    <n v="1"/>
    <n v="1"/>
  </r>
  <r>
    <x v="1"/>
    <s v="Travel_Rarely"/>
    <x v="0"/>
    <s v="Current Employees"/>
    <x v="1"/>
    <x v="2"/>
    <s v="STAFF-1587"/>
    <n v="1587"/>
    <x v="0"/>
    <x v="4"/>
    <x v="0"/>
    <s v="Yes"/>
    <s v="Y"/>
    <n v="4"/>
    <n v="-2"/>
    <n v="0"/>
    <n v="35"/>
    <n v="0"/>
    <m/>
    <n v="0"/>
    <n v="1"/>
    <n v="670"/>
    <n v="10"/>
    <x v="2"/>
    <n v="1"/>
    <n v="1"/>
    <n v="51"/>
    <n v="3"/>
    <n v="2"/>
    <n v="3"/>
    <n v="6142"/>
    <n v="4223"/>
    <n v="3"/>
    <n v="16"/>
    <n v="3"/>
    <n v="3"/>
    <n v="80"/>
    <n v="0"/>
    <n v="10"/>
    <n v="3"/>
    <n v="5"/>
    <n v="2"/>
    <n v="0"/>
    <n v="4"/>
  </r>
  <r>
    <x v="1"/>
    <s v="Travel_Rarely"/>
    <x v="1"/>
    <s v="Current Employees"/>
    <x v="1"/>
    <x v="2"/>
    <s v="STAFF-1611"/>
    <n v="1611"/>
    <x v="0"/>
    <x v="2"/>
    <x v="0"/>
    <s v="Yes"/>
    <s v="Y"/>
    <n v="3"/>
    <n v="-2"/>
    <n v="0"/>
    <n v="45"/>
    <n v="0"/>
    <m/>
    <n v="0"/>
    <n v="1"/>
    <n v="1015"/>
    <n v="5"/>
    <x v="4"/>
    <n v="1"/>
    <n v="3"/>
    <n v="50"/>
    <n v="1"/>
    <n v="2"/>
    <n v="1"/>
    <n v="5769"/>
    <n v="23447"/>
    <n v="1"/>
    <n v="14"/>
    <n v="3"/>
    <n v="1"/>
    <n v="80"/>
    <n v="0"/>
    <n v="10"/>
    <n v="3"/>
    <n v="10"/>
    <n v="7"/>
    <n v="1"/>
    <n v="4"/>
  </r>
  <r>
    <x v="1"/>
    <s v="Travel_Rarely"/>
    <x v="1"/>
    <s v="Current Employees"/>
    <x v="1"/>
    <x v="2"/>
    <s v="STAFF-1980"/>
    <n v="1980"/>
    <x v="0"/>
    <x v="3"/>
    <x v="0"/>
    <s v="Yes"/>
    <s v="Y"/>
    <n v="3"/>
    <n v="-2"/>
    <n v="0"/>
    <n v="54"/>
    <n v="0"/>
    <m/>
    <n v="0"/>
    <n v="1"/>
    <n v="157"/>
    <n v="10"/>
    <x v="3"/>
    <n v="1"/>
    <n v="3"/>
    <n v="77"/>
    <n v="3"/>
    <n v="2"/>
    <n v="1"/>
    <n v="4440"/>
    <n v="25198"/>
    <n v="6"/>
    <n v="19"/>
    <n v="3"/>
    <n v="4"/>
    <n v="80"/>
    <n v="0"/>
    <n v="9"/>
    <n v="3"/>
    <n v="5"/>
    <n v="2"/>
    <n v="1"/>
    <n v="4"/>
  </r>
  <r>
    <x v="1"/>
    <s v="Travel_Rarely"/>
    <x v="0"/>
    <s v="Current Employees"/>
    <x v="1"/>
    <x v="0"/>
    <s v="STAFF-1641"/>
    <n v="1641"/>
    <x v="0"/>
    <x v="3"/>
    <x v="0"/>
    <s v="Yes"/>
    <s v="Y"/>
    <n v="2"/>
    <n v="-2"/>
    <n v="0"/>
    <n v="40"/>
    <n v="0"/>
    <m/>
    <n v="0"/>
    <n v="1"/>
    <n v="448"/>
    <n v="16"/>
    <x v="3"/>
    <n v="1"/>
    <n v="3"/>
    <n v="84"/>
    <n v="3"/>
    <n v="3"/>
    <n v="4"/>
    <n v="7945"/>
    <n v="19948"/>
    <n v="6"/>
    <n v="15"/>
    <n v="3"/>
    <n v="4"/>
    <n v="80"/>
    <n v="0"/>
    <n v="18"/>
    <n v="2"/>
    <n v="4"/>
    <n v="2"/>
    <n v="3"/>
    <n v="3"/>
  </r>
  <r>
    <x v="1"/>
    <s v="Travel_Rarely"/>
    <x v="0"/>
    <s v="Current Employees"/>
    <x v="0"/>
    <x v="3"/>
    <s v="STAFF-1815"/>
    <n v="1815"/>
    <x v="0"/>
    <x v="0"/>
    <x v="2"/>
    <s v="Yes"/>
    <s v="Y"/>
    <n v="3"/>
    <n v="-2"/>
    <n v="0"/>
    <n v="41"/>
    <n v="0"/>
    <m/>
    <n v="0"/>
    <n v="1"/>
    <n v="796"/>
    <n v="4"/>
    <x v="1"/>
    <n v="1"/>
    <n v="3"/>
    <n v="81"/>
    <n v="3"/>
    <n v="3"/>
    <n v="1"/>
    <n v="10447"/>
    <n v="26458"/>
    <n v="0"/>
    <n v="13"/>
    <n v="3"/>
    <n v="4"/>
    <n v="80"/>
    <n v="1"/>
    <n v="23"/>
    <n v="4"/>
    <n v="22"/>
    <n v="14"/>
    <n v="13"/>
    <n v="5"/>
  </r>
  <r>
    <x v="1"/>
    <s v="Travel_Rarely"/>
    <x v="2"/>
    <s v="Current Employees"/>
    <x v="0"/>
    <x v="2"/>
    <s v="STAFF-1912"/>
    <n v="1912"/>
    <x v="0"/>
    <x v="0"/>
    <x v="2"/>
    <s v="Yes"/>
    <s v="Y"/>
    <n v="2"/>
    <n v="-2"/>
    <n v="0"/>
    <n v="31"/>
    <n v="0"/>
    <m/>
    <n v="0"/>
    <n v="1"/>
    <n v="1079"/>
    <n v="10"/>
    <x v="0"/>
    <n v="1"/>
    <n v="3"/>
    <n v="86"/>
    <n v="3"/>
    <n v="2"/>
    <n v="4"/>
    <n v="6583"/>
    <n v="20115"/>
    <n v="2"/>
    <n v="11"/>
    <n v="3"/>
    <n v="4"/>
    <n v="80"/>
    <n v="1"/>
    <n v="8"/>
    <n v="3"/>
    <n v="5"/>
    <n v="2"/>
    <n v="1"/>
    <n v="4"/>
  </r>
  <r>
    <x v="1"/>
    <s v="Travel_Rarely"/>
    <x v="0"/>
    <s v="Current Employees"/>
    <x v="0"/>
    <x v="0"/>
    <s v="STAFF-1962"/>
    <n v="1962"/>
    <x v="0"/>
    <x v="0"/>
    <x v="1"/>
    <s v="Yes"/>
    <s v="Y"/>
    <n v="2"/>
    <n v="-2"/>
    <n v="0"/>
    <n v="35"/>
    <n v="0"/>
    <m/>
    <n v="0"/>
    <n v="1"/>
    <n v="1224"/>
    <n v="7"/>
    <x v="2"/>
    <n v="1"/>
    <n v="3"/>
    <n v="55"/>
    <n v="3"/>
    <n v="2"/>
    <n v="4"/>
    <n v="5204"/>
    <n v="13586"/>
    <n v="1"/>
    <n v="11"/>
    <n v="3"/>
    <n v="4"/>
    <n v="80"/>
    <n v="0"/>
    <n v="10"/>
    <n v="3"/>
    <n v="10"/>
    <n v="8"/>
    <n v="0"/>
    <n v="9"/>
  </r>
  <r>
    <x v="1"/>
    <s v="Travel_Rarely"/>
    <x v="2"/>
    <s v="Current Employees"/>
    <x v="0"/>
    <x v="2"/>
    <s v="STAFF-1915"/>
    <n v="1915"/>
    <x v="0"/>
    <x v="0"/>
    <x v="1"/>
    <s v="Yes"/>
    <s v="Y"/>
    <n v="3"/>
    <n v="-2"/>
    <n v="0"/>
    <n v="34"/>
    <n v="0"/>
    <m/>
    <n v="0"/>
    <n v="1"/>
    <n v="735"/>
    <n v="3"/>
    <x v="1"/>
    <n v="1"/>
    <n v="4"/>
    <n v="75"/>
    <n v="2"/>
    <n v="2"/>
    <n v="4"/>
    <n v="8103"/>
    <n v="16495"/>
    <n v="3"/>
    <n v="12"/>
    <n v="3"/>
    <n v="3"/>
    <n v="80"/>
    <n v="0"/>
    <n v="9"/>
    <n v="2"/>
    <n v="4"/>
    <n v="2"/>
    <n v="0"/>
    <n v="1"/>
  </r>
  <r>
    <x v="1"/>
    <s v="Travel_Rarely"/>
    <x v="0"/>
    <s v="Current Employees"/>
    <x v="0"/>
    <x v="4"/>
    <s v="STAFF-1880"/>
    <n v="1880"/>
    <x v="0"/>
    <x v="0"/>
    <x v="1"/>
    <s v="Yes"/>
    <s v="Y"/>
    <n v="4"/>
    <n v="-2"/>
    <n v="0"/>
    <n v="36"/>
    <n v="0"/>
    <m/>
    <n v="0"/>
    <n v="1"/>
    <n v="1266"/>
    <n v="10"/>
    <x v="2"/>
    <n v="1"/>
    <n v="4"/>
    <n v="63"/>
    <n v="2"/>
    <n v="2"/>
    <n v="4"/>
    <n v="5673"/>
    <n v="6060"/>
    <n v="1"/>
    <n v="13"/>
    <n v="3"/>
    <n v="1"/>
    <n v="80"/>
    <n v="1"/>
    <n v="10"/>
    <n v="3"/>
    <n v="10"/>
    <n v="9"/>
    <n v="1"/>
    <n v="7"/>
  </r>
  <r>
    <x v="1"/>
    <s v="Travel_Rarely"/>
    <x v="1"/>
    <s v="Current Employees"/>
    <x v="0"/>
    <x v="2"/>
    <s v="STAFF-1503"/>
    <n v="1503"/>
    <x v="0"/>
    <x v="0"/>
    <x v="1"/>
    <s v="Yes"/>
    <s v="Y"/>
    <n v="4"/>
    <n v="-2"/>
    <n v="0"/>
    <n v="47"/>
    <n v="0"/>
    <m/>
    <n v="0"/>
    <n v="1"/>
    <n v="571"/>
    <n v="14"/>
    <x v="3"/>
    <n v="1"/>
    <n v="3"/>
    <n v="78"/>
    <n v="3"/>
    <n v="2"/>
    <n v="3"/>
    <n v="4591"/>
    <n v="24200"/>
    <n v="3"/>
    <n v="17"/>
    <n v="3"/>
    <n v="3"/>
    <n v="80"/>
    <n v="1"/>
    <n v="11"/>
    <n v="2"/>
    <n v="5"/>
    <n v="4"/>
    <n v="1"/>
    <n v="2"/>
  </r>
  <r>
    <x v="1"/>
    <s v="Travel_Rarely"/>
    <x v="3"/>
    <s v="Current Employees"/>
    <x v="0"/>
    <x v="0"/>
    <s v="STAFF-1938"/>
    <n v="1938"/>
    <x v="0"/>
    <x v="5"/>
    <x v="1"/>
    <s v="Yes"/>
    <s v="Y"/>
    <n v="2"/>
    <n v="-2"/>
    <n v="0"/>
    <n v="58"/>
    <n v="0"/>
    <m/>
    <n v="0"/>
    <n v="1"/>
    <n v="605"/>
    <n v="21"/>
    <x v="3"/>
    <n v="1"/>
    <n v="4"/>
    <n v="72"/>
    <n v="3"/>
    <n v="4"/>
    <n v="4"/>
    <n v="17875"/>
    <n v="11761"/>
    <n v="4"/>
    <n v="13"/>
    <n v="3"/>
    <n v="3"/>
    <n v="80"/>
    <n v="1"/>
    <n v="29"/>
    <n v="2"/>
    <n v="1"/>
    <n v="0"/>
    <n v="0"/>
    <n v="0"/>
  </r>
  <r>
    <x v="1"/>
    <s v="Travel_Rarely"/>
    <x v="4"/>
    <s v="Current Employees"/>
    <x v="0"/>
    <x v="2"/>
    <s v="STAFF-1445"/>
    <n v="1445"/>
    <x v="0"/>
    <x v="0"/>
    <x v="1"/>
    <s v="Yes"/>
    <s v="Y"/>
    <n v="3"/>
    <n v="-2"/>
    <n v="0"/>
    <n v="24"/>
    <n v="0"/>
    <m/>
    <n v="0"/>
    <n v="1"/>
    <n v="1476"/>
    <n v="4"/>
    <x v="1"/>
    <n v="1"/>
    <n v="4"/>
    <n v="42"/>
    <n v="3"/>
    <n v="2"/>
    <n v="3"/>
    <n v="4162"/>
    <n v="15211"/>
    <n v="1"/>
    <n v="12"/>
    <n v="3"/>
    <n v="3"/>
    <n v="80"/>
    <n v="2"/>
    <n v="5"/>
    <n v="3"/>
    <n v="5"/>
    <n v="4"/>
    <n v="0"/>
    <n v="3"/>
  </r>
  <r>
    <x v="1"/>
    <s v="Travel_Rarely"/>
    <x v="0"/>
    <s v="Current Employees"/>
    <x v="0"/>
    <x v="3"/>
    <s v="STAFF-1425"/>
    <n v="1425"/>
    <x v="0"/>
    <x v="0"/>
    <x v="0"/>
    <s v="Yes"/>
    <s v="Y"/>
    <n v="3"/>
    <n v="-2"/>
    <n v="0"/>
    <n v="36"/>
    <n v="0"/>
    <m/>
    <n v="0"/>
    <n v="1"/>
    <n v="1174"/>
    <n v="3"/>
    <x v="2"/>
    <n v="1"/>
    <n v="1"/>
    <n v="99"/>
    <n v="3"/>
    <n v="2"/>
    <n v="1"/>
    <n v="9278"/>
    <n v="20763"/>
    <n v="3"/>
    <n v="16"/>
    <n v="3"/>
    <n v="4"/>
    <n v="80"/>
    <n v="0"/>
    <n v="15"/>
    <n v="3"/>
    <n v="5"/>
    <n v="4"/>
    <n v="0"/>
    <n v="1"/>
  </r>
  <r>
    <x v="1"/>
    <s v="Non-Travel"/>
    <x v="0"/>
    <s v="Current Employees"/>
    <x v="1"/>
    <x v="0"/>
    <s v="STAFF-1552"/>
    <n v="1552"/>
    <x v="1"/>
    <x v="4"/>
    <x v="2"/>
    <s v="Yes"/>
    <s v="Y"/>
    <n v="2"/>
    <n v="-2"/>
    <n v="0"/>
    <n v="40"/>
    <n v="0"/>
    <m/>
    <n v="0"/>
    <n v="1"/>
    <n v="1142"/>
    <n v="8"/>
    <x v="0"/>
    <n v="1"/>
    <n v="4"/>
    <n v="72"/>
    <n v="3"/>
    <n v="2"/>
    <n v="4"/>
    <n v="4069"/>
    <n v="8841"/>
    <n v="3"/>
    <n v="18"/>
    <n v="3"/>
    <n v="3"/>
    <n v="80"/>
    <n v="0"/>
    <n v="8"/>
    <n v="3"/>
    <n v="2"/>
    <n v="2"/>
    <n v="2"/>
    <n v="2"/>
  </r>
  <r>
    <x v="1"/>
    <s v="Non-Travel"/>
    <x v="2"/>
    <s v="Current Employees"/>
    <x v="1"/>
    <x v="2"/>
    <s v="STAFF-1948"/>
    <n v="1948"/>
    <x v="1"/>
    <x v="1"/>
    <x v="2"/>
    <s v="Yes"/>
    <s v="Y"/>
    <n v="3"/>
    <n v="-2"/>
    <n v="0"/>
    <n v="31"/>
    <n v="0"/>
    <m/>
    <n v="0"/>
    <n v="1"/>
    <n v="976"/>
    <n v="3"/>
    <x v="0"/>
    <n v="1"/>
    <n v="3"/>
    <n v="48"/>
    <n v="3"/>
    <n v="1"/>
    <n v="1"/>
    <n v="3065"/>
    <n v="3995"/>
    <n v="1"/>
    <n v="13"/>
    <n v="3"/>
    <n v="4"/>
    <n v="80"/>
    <n v="1"/>
    <n v="4"/>
    <n v="4"/>
    <n v="4"/>
    <n v="2"/>
    <n v="2"/>
    <n v="3"/>
  </r>
  <r>
    <x v="1"/>
    <s v="Non-Travel"/>
    <x v="0"/>
    <s v="Current Employees"/>
    <x v="1"/>
    <x v="0"/>
    <s v="STAFF-1737"/>
    <n v="1737"/>
    <x v="1"/>
    <x v="2"/>
    <x v="1"/>
    <s v="Yes"/>
    <s v="Y"/>
    <n v="2"/>
    <n v="-2"/>
    <n v="0"/>
    <n v="39"/>
    <n v="0"/>
    <m/>
    <n v="0"/>
    <n v="1"/>
    <n v="792"/>
    <n v="1"/>
    <x v="3"/>
    <n v="1"/>
    <n v="4"/>
    <n v="77"/>
    <n v="3"/>
    <n v="2"/>
    <n v="4"/>
    <n v="6472"/>
    <n v="8989"/>
    <n v="1"/>
    <n v="15"/>
    <n v="3"/>
    <n v="4"/>
    <n v="80"/>
    <n v="1"/>
    <n v="9"/>
    <n v="3"/>
    <n v="9"/>
    <n v="8"/>
    <n v="5"/>
    <n v="8"/>
  </r>
  <r>
    <x v="1"/>
    <s v="Non-Travel"/>
    <x v="2"/>
    <s v="Current Employees"/>
    <x v="0"/>
    <x v="0"/>
    <s v="STAFF-1774"/>
    <n v="1774"/>
    <x v="1"/>
    <x v="0"/>
    <x v="2"/>
    <s v="Yes"/>
    <s v="Y"/>
    <n v="3"/>
    <n v="-2"/>
    <n v="0"/>
    <n v="34"/>
    <n v="0"/>
    <m/>
    <n v="0"/>
    <n v="1"/>
    <n v="1375"/>
    <n v="10"/>
    <x v="3"/>
    <n v="1"/>
    <n v="4"/>
    <n v="87"/>
    <n v="3"/>
    <n v="2"/>
    <n v="3"/>
    <n v="4001"/>
    <n v="12313"/>
    <n v="1"/>
    <n v="14"/>
    <n v="3"/>
    <n v="3"/>
    <n v="80"/>
    <n v="1"/>
    <n v="15"/>
    <n v="3"/>
    <n v="15"/>
    <n v="14"/>
    <n v="0"/>
    <n v="7"/>
  </r>
  <r>
    <x v="1"/>
    <s v="Travel_Frequently"/>
    <x v="0"/>
    <s v="Current Employees"/>
    <x v="2"/>
    <x v="5"/>
    <s v="STAFF-1642"/>
    <n v="1642"/>
    <x v="1"/>
    <x v="8"/>
    <x v="1"/>
    <s v="Yes"/>
    <s v="Y"/>
    <n v="3"/>
    <n v="-2"/>
    <n v="0"/>
    <n v="44"/>
    <n v="0"/>
    <m/>
    <n v="0"/>
    <n v="1"/>
    <n v="602"/>
    <n v="1"/>
    <x v="4"/>
    <n v="1"/>
    <n v="1"/>
    <n v="37"/>
    <n v="3"/>
    <n v="2"/>
    <n v="4"/>
    <n v="5743"/>
    <n v="10503"/>
    <n v="4"/>
    <n v="11"/>
    <n v="3"/>
    <n v="3"/>
    <n v="80"/>
    <n v="0"/>
    <n v="14"/>
    <n v="3"/>
    <n v="10"/>
    <n v="7"/>
    <n v="0"/>
    <n v="2"/>
  </r>
  <r>
    <x v="1"/>
    <s v="Travel_Frequently"/>
    <x v="0"/>
    <s v="Current Employees"/>
    <x v="2"/>
    <x v="1"/>
    <s v="STAFF-1972"/>
    <n v="1972"/>
    <x v="1"/>
    <x v="8"/>
    <x v="1"/>
    <s v="Yes"/>
    <s v="Y"/>
    <n v="2"/>
    <n v="-2"/>
    <n v="0"/>
    <n v="38"/>
    <n v="0"/>
    <m/>
    <n v="0"/>
    <n v="1"/>
    <n v="1444"/>
    <n v="1"/>
    <x v="2"/>
    <n v="1"/>
    <n v="4"/>
    <n v="88"/>
    <n v="3"/>
    <n v="1"/>
    <n v="2"/>
    <n v="2991"/>
    <n v="5224"/>
    <n v="0"/>
    <n v="11"/>
    <n v="3"/>
    <n v="2"/>
    <n v="80"/>
    <n v="1"/>
    <n v="7"/>
    <n v="3"/>
    <n v="6"/>
    <n v="2"/>
    <n v="1"/>
    <n v="2"/>
  </r>
  <r>
    <x v="1"/>
    <s v="Travel_Frequently"/>
    <x v="3"/>
    <s v="Current Employees"/>
    <x v="1"/>
    <x v="0"/>
    <s v="STAFF-1837"/>
    <n v="1837"/>
    <x v="1"/>
    <x v="7"/>
    <x v="1"/>
    <s v="Yes"/>
    <s v="Y"/>
    <n v="3"/>
    <n v="-2"/>
    <n v="0"/>
    <n v="58"/>
    <n v="0"/>
    <m/>
    <n v="0"/>
    <n v="1"/>
    <n v="1216"/>
    <n v="15"/>
    <x v="2"/>
    <n v="1"/>
    <n v="1"/>
    <n v="87"/>
    <n v="3"/>
    <n v="4"/>
    <n v="3"/>
    <n v="15787"/>
    <n v="21624"/>
    <n v="2"/>
    <n v="14"/>
    <n v="3"/>
    <n v="2"/>
    <n v="80"/>
    <n v="0"/>
    <n v="23"/>
    <n v="3"/>
    <n v="2"/>
    <n v="2"/>
    <n v="2"/>
    <n v="2"/>
  </r>
  <r>
    <x v="1"/>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x v="1"/>
    <s v="Travel_Frequently"/>
    <x v="0"/>
    <s v="Current Employees"/>
    <x v="1"/>
    <x v="0"/>
    <s v="STAFF-1594"/>
    <n v="1594"/>
    <x v="1"/>
    <x v="2"/>
    <x v="1"/>
    <s v="Yes"/>
    <s v="Y"/>
    <n v="3"/>
    <n v="-2"/>
    <n v="0"/>
    <n v="36"/>
    <n v="0"/>
    <m/>
    <n v="0"/>
    <n v="1"/>
    <n v="1302"/>
    <n v="6"/>
    <x v="2"/>
    <n v="1"/>
    <n v="1"/>
    <n v="80"/>
    <n v="4"/>
    <n v="2"/>
    <n v="1"/>
    <n v="5562"/>
    <n v="19711"/>
    <n v="3"/>
    <n v="13"/>
    <n v="3"/>
    <n v="4"/>
    <n v="80"/>
    <n v="1"/>
    <n v="9"/>
    <n v="3"/>
    <n v="3"/>
    <n v="2"/>
    <n v="0"/>
    <n v="2"/>
  </r>
  <r>
    <x v="1"/>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x v="1"/>
    <s v="Travel_Frequently"/>
    <x v="0"/>
    <s v="Current Employees"/>
    <x v="1"/>
    <x v="0"/>
    <s v="STAFF-1547"/>
    <n v="1547"/>
    <x v="1"/>
    <x v="4"/>
    <x v="1"/>
    <s v="Yes"/>
    <s v="Y"/>
    <n v="3"/>
    <n v="-2"/>
    <n v="0"/>
    <n v="42"/>
    <n v="0"/>
    <m/>
    <n v="0"/>
    <n v="1"/>
    <n v="288"/>
    <n v="2"/>
    <x v="3"/>
    <n v="1"/>
    <n v="4"/>
    <n v="40"/>
    <n v="3"/>
    <n v="3"/>
    <n v="4"/>
    <n v="10124"/>
    <n v="18611"/>
    <n v="2"/>
    <n v="14"/>
    <n v="3"/>
    <n v="3"/>
    <n v="80"/>
    <n v="1"/>
    <n v="24"/>
    <n v="1"/>
    <n v="20"/>
    <n v="8"/>
    <n v="13"/>
    <n v="9"/>
  </r>
  <r>
    <x v="1"/>
    <s v="Travel_Frequently"/>
    <x v="0"/>
    <s v="Current Employees"/>
    <x v="1"/>
    <x v="0"/>
    <s v="STAFF-2049"/>
    <n v="2049"/>
    <x v="1"/>
    <x v="4"/>
    <x v="1"/>
    <s v="Yes"/>
    <s v="Y"/>
    <n v="2"/>
    <n v="-2"/>
    <n v="0"/>
    <n v="35"/>
    <n v="0"/>
    <m/>
    <n v="0"/>
    <n v="1"/>
    <n v="1199"/>
    <n v="18"/>
    <x v="2"/>
    <n v="1"/>
    <n v="3"/>
    <n v="80"/>
    <n v="3"/>
    <n v="2"/>
    <n v="3"/>
    <n v="5689"/>
    <n v="24594"/>
    <n v="1"/>
    <n v="14"/>
    <n v="3"/>
    <n v="4"/>
    <n v="80"/>
    <n v="2"/>
    <n v="10"/>
    <n v="4"/>
    <n v="10"/>
    <n v="2"/>
    <n v="0"/>
    <n v="2"/>
  </r>
  <r>
    <x v="1"/>
    <s v="Travel_Frequently"/>
    <x v="0"/>
    <s v="Current Employees"/>
    <x v="1"/>
    <x v="2"/>
    <s v="STAFF-1704"/>
    <n v="1704"/>
    <x v="1"/>
    <x v="1"/>
    <x v="0"/>
    <s v="Yes"/>
    <s v="Y"/>
    <n v="2"/>
    <n v="-2"/>
    <n v="0"/>
    <n v="35"/>
    <n v="0"/>
    <m/>
    <n v="0"/>
    <n v="1"/>
    <n v="146"/>
    <n v="2"/>
    <x v="2"/>
    <n v="1"/>
    <n v="1"/>
    <n v="79"/>
    <n v="2"/>
    <n v="1"/>
    <n v="4"/>
    <n v="4930"/>
    <n v="13970"/>
    <n v="0"/>
    <n v="14"/>
    <n v="3"/>
    <n v="3"/>
    <n v="80"/>
    <n v="0"/>
    <n v="6"/>
    <n v="4"/>
    <n v="5"/>
    <n v="4"/>
    <n v="1"/>
    <n v="4"/>
  </r>
  <r>
    <x v="1"/>
    <s v="Travel_Frequently"/>
    <x v="0"/>
    <s v="Current Employees"/>
    <x v="1"/>
    <x v="2"/>
    <s v="STAFF-1496"/>
    <n v="1496"/>
    <x v="1"/>
    <x v="3"/>
    <x v="0"/>
    <s v="Yes"/>
    <s v="Y"/>
    <n v="2"/>
    <n v="-2"/>
    <n v="0"/>
    <n v="44"/>
    <n v="0"/>
    <m/>
    <n v="0"/>
    <n v="1"/>
    <n v="1193"/>
    <n v="2"/>
    <x v="1"/>
    <n v="1"/>
    <n v="2"/>
    <n v="86"/>
    <n v="3"/>
    <n v="3"/>
    <n v="3"/>
    <n v="10209"/>
    <n v="19719"/>
    <n v="5"/>
    <n v="18"/>
    <n v="3"/>
    <n v="2"/>
    <n v="80"/>
    <n v="0"/>
    <n v="16"/>
    <n v="2"/>
    <n v="2"/>
    <n v="2"/>
    <n v="2"/>
    <n v="2"/>
  </r>
  <r>
    <x v="1"/>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x v="1"/>
    <s v="Travel_Frequently"/>
    <x v="2"/>
    <s v="Current Employees"/>
    <x v="1"/>
    <x v="0"/>
    <s v="STAFF-1753"/>
    <n v="1753"/>
    <x v="1"/>
    <x v="4"/>
    <x v="0"/>
    <s v="Yes"/>
    <s v="Y"/>
    <n v="5"/>
    <n v="-2"/>
    <n v="0"/>
    <n v="29"/>
    <n v="0"/>
    <m/>
    <n v="0"/>
    <n v="1"/>
    <n v="461"/>
    <n v="1"/>
    <x v="3"/>
    <n v="1"/>
    <n v="4"/>
    <n v="70"/>
    <n v="4"/>
    <n v="2"/>
    <n v="3"/>
    <n v="6294"/>
    <n v="23060"/>
    <n v="8"/>
    <n v="12"/>
    <n v="3"/>
    <n v="4"/>
    <n v="80"/>
    <n v="0"/>
    <n v="10"/>
    <n v="4"/>
    <n v="3"/>
    <n v="2"/>
    <n v="0"/>
    <n v="2"/>
  </r>
  <r>
    <x v="1"/>
    <s v="Travel_Frequently"/>
    <x v="2"/>
    <s v="Current Employees"/>
    <x v="0"/>
    <x v="0"/>
    <s v="STAFF-1927"/>
    <n v="1927"/>
    <x v="1"/>
    <x v="0"/>
    <x v="1"/>
    <s v="Yes"/>
    <s v="Y"/>
    <n v="2"/>
    <n v="-2"/>
    <n v="0"/>
    <n v="28"/>
    <n v="0"/>
    <m/>
    <n v="0"/>
    <n v="1"/>
    <n v="783"/>
    <n v="1"/>
    <x v="0"/>
    <n v="1"/>
    <n v="3"/>
    <n v="42"/>
    <n v="2"/>
    <n v="2"/>
    <n v="4"/>
    <n v="6834"/>
    <n v="19255"/>
    <n v="1"/>
    <n v="12"/>
    <n v="3"/>
    <n v="3"/>
    <n v="80"/>
    <n v="1"/>
    <n v="7"/>
    <n v="3"/>
    <n v="7"/>
    <n v="7"/>
    <n v="0"/>
    <n v="7"/>
  </r>
  <r>
    <x v="1"/>
    <s v="Travel_Rarely"/>
    <x v="3"/>
    <s v="Current Employees"/>
    <x v="2"/>
    <x v="5"/>
    <s v="STAFF-1973"/>
    <n v="1973"/>
    <x v="1"/>
    <x v="5"/>
    <x v="1"/>
    <s v="Yes"/>
    <s v="Y"/>
    <n v="0"/>
    <n v="-2"/>
    <n v="0"/>
    <n v="55"/>
    <n v="0"/>
    <m/>
    <n v="0"/>
    <n v="1"/>
    <n v="189"/>
    <n v="26"/>
    <x v="2"/>
    <n v="1"/>
    <n v="3"/>
    <n v="71"/>
    <n v="4"/>
    <n v="5"/>
    <n v="2"/>
    <n v="19636"/>
    <n v="25811"/>
    <n v="4"/>
    <n v="18"/>
    <n v="3"/>
    <n v="1"/>
    <n v="80"/>
    <n v="1"/>
    <n v="35"/>
    <n v="3"/>
    <n v="10"/>
    <n v="9"/>
    <n v="1"/>
    <n v="4"/>
  </r>
  <r>
    <x v="1"/>
    <s v="Travel_Rarely"/>
    <x v="1"/>
    <s v="Current Employees"/>
    <x v="1"/>
    <x v="2"/>
    <s v="STAFF-1460"/>
    <n v="1460"/>
    <x v="1"/>
    <x v="4"/>
    <x v="2"/>
    <s v="Yes"/>
    <s v="Y"/>
    <n v="2"/>
    <n v="-2"/>
    <n v="0"/>
    <n v="45"/>
    <n v="0"/>
    <m/>
    <n v="0"/>
    <n v="1"/>
    <n v="1038"/>
    <n v="20"/>
    <x v="3"/>
    <n v="1"/>
    <n v="2"/>
    <n v="95"/>
    <n v="1"/>
    <n v="3"/>
    <n v="1"/>
    <n v="10851"/>
    <n v="19863"/>
    <n v="2"/>
    <n v="18"/>
    <n v="3"/>
    <n v="2"/>
    <n v="80"/>
    <n v="1"/>
    <n v="24"/>
    <n v="3"/>
    <n v="7"/>
    <n v="7"/>
    <n v="0"/>
    <n v="7"/>
  </r>
  <r>
    <x v="1"/>
    <s v="Travel_Rarely"/>
    <x v="1"/>
    <s v="Current Employees"/>
    <x v="1"/>
    <x v="2"/>
    <s v="STAFF-1789"/>
    <n v="1789"/>
    <x v="1"/>
    <x v="7"/>
    <x v="2"/>
    <s v="Yes"/>
    <s v="Y"/>
    <n v="3"/>
    <n v="-2"/>
    <n v="0"/>
    <n v="46"/>
    <n v="0"/>
    <m/>
    <n v="0"/>
    <n v="1"/>
    <n v="734"/>
    <n v="2"/>
    <x v="2"/>
    <n v="1"/>
    <n v="3"/>
    <n v="46"/>
    <n v="3"/>
    <n v="5"/>
    <n v="4"/>
    <n v="19328"/>
    <n v="14218"/>
    <n v="7"/>
    <n v="17"/>
    <n v="3"/>
    <n v="3"/>
    <n v="80"/>
    <n v="1"/>
    <n v="24"/>
    <n v="3"/>
    <n v="2"/>
    <n v="1"/>
    <n v="2"/>
    <n v="2"/>
  </r>
  <r>
    <x v="1"/>
    <s v="Travel_Rarely"/>
    <x v="0"/>
    <s v="Current Employees"/>
    <x v="1"/>
    <x v="0"/>
    <s v="STAFF-1998"/>
    <n v="1998"/>
    <x v="1"/>
    <x v="1"/>
    <x v="2"/>
    <s v="Yes"/>
    <s v="Y"/>
    <n v="3"/>
    <n v="-2"/>
    <n v="0"/>
    <n v="42"/>
    <n v="0"/>
    <m/>
    <n v="0"/>
    <n v="1"/>
    <n v="557"/>
    <n v="18"/>
    <x v="2"/>
    <n v="1"/>
    <n v="4"/>
    <n v="35"/>
    <n v="3"/>
    <n v="2"/>
    <n v="1"/>
    <n v="5410"/>
    <n v="11189"/>
    <n v="6"/>
    <n v="17"/>
    <n v="3"/>
    <n v="3"/>
    <n v="80"/>
    <n v="1"/>
    <n v="9"/>
    <n v="2"/>
    <n v="4"/>
    <n v="3"/>
    <n v="1"/>
    <n v="2"/>
  </r>
  <r>
    <x v="1"/>
    <s v="Travel_Rarely"/>
    <x v="2"/>
    <s v="Current Employees"/>
    <x v="1"/>
    <x v="1"/>
    <s v="STAFF-1992"/>
    <n v="1992"/>
    <x v="1"/>
    <x v="2"/>
    <x v="2"/>
    <s v="Yes"/>
    <s v="Y"/>
    <n v="2"/>
    <n v="-2"/>
    <n v="0"/>
    <n v="25"/>
    <n v="0"/>
    <m/>
    <n v="0"/>
    <n v="1"/>
    <n v="977"/>
    <n v="2"/>
    <x v="1"/>
    <n v="1"/>
    <n v="4"/>
    <n v="57"/>
    <n v="3"/>
    <n v="1"/>
    <n v="3"/>
    <n v="3977"/>
    <n v="7298"/>
    <n v="6"/>
    <n v="19"/>
    <n v="3"/>
    <n v="3"/>
    <n v="80"/>
    <n v="1"/>
    <n v="7"/>
    <n v="2"/>
    <n v="2"/>
    <n v="2"/>
    <n v="0"/>
    <n v="2"/>
  </r>
  <r>
    <x v="1"/>
    <s v="Travel_Rarely"/>
    <x v="0"/>
    <s v="Current Employees"/>
    <x v="1"/>
    <x v="2"/>
    <s v="STAFF-1448"/>
    <n v="1448"/>
    <x v="1"/>
    <x v="1"/>
    <x v="1"/>
    <s v="Yes"/>
    <s v="Y"/>
    <n v="5"/>
    <n v="-2"/>
    <n v="0"/>
    <n v="41"/>
    <n v="0"/>
    <m/>
    <n v="0"/>
    <n v="1"/>
    <n v="1283"/>
    <n v="5"/>
    <x v="4"/>
    <n v="1"/>
    <n v="2"/>
    <n v="90"/>
    <n v="4"/>
    <n v="1"/>
    <n v="3"/>
    <n v="2127"/>
    <n v="5561"/>
    <n v="2"/>
    <n v="12"/>
    <n v="3"/>
    <n v="1"/>
    <n v="80"/>
    <n v="0"/>
    <n v="7"/>
    <n v="2"/>
    <n v="4"/>
    <n v="2"/>
    <n v="0"/>
    <n v="3"/>
  </r>
  <r>
    <x v="1"/>
    <s v="Travel_Rarely"/>
    <x v="3"/>
    <s v="Current Employees"/>
    <x v="1"/>
    <x v="0"/>
    <s v="STAFF-1501"/>
    <n v="1501"/>
    <x v="1"/>
    <x v="4"/>
    <x v="1"/>
    <s v="Yes"/>
    <s v="Y"/>
    <n v="2"/>
    <n v="-2"/>
    <n v="0"/>
    <n v="55"/>
    <n v="0"/>
    <m/>
    <n v="0"/>
    <n v="1"/>
    <n v="1229"/>
    <n v="4"/>
    <x v="2"/>
    <n v="1"/>
    <n v="4"/>
    <n v="30"/>
    <n v="3"/>
    <n v="2"/>
    <n v="3"/>
    <n v="4035"/>
    <n v="16143"/>
    <n v="0"/>
    <n v="16"/>
    <n v="3"/>
    <n v="2"/>
    <n v="80"/>
    <n v="0"/>
    <n v="4"/>
    <n v="3"/>
    <n v="3"/>
    <n v="2"/>
    <n v="1"/>
    <n v="2"/>
  </r>
  <r>
    <x v="1"/>
    <s v="Travel_Rarely"/>
    <x v="0"/>
    <s v="Current Employees"/>
    <x v="1"/>
    <x v="2"/>
    <s v="STAFF-1766"/>
    <n v="1766"/>
    <x v="1"/>
    <x v="4"/>
    <x v="1"/>
    <s v="Yes"/>
    <s v="Y"/>
    <n v="2"/>
    <n v="-2"/>
    <n v="0"/>
    <n v="38"/>
    <n v="0"/>
    <m/>
    <n v="0"/>
    <n v="1"/>
    <n v="833"/>
    <n v="18"/>
    <x v="3"/>
    <n v="1"/>
    <n v="2"/>
    <n v="60"/>
    <n v="1"/>
    <n v="2"/>
    <n v="4"/>
    <n v="5811"/>
    <n v="24539"/>
    <n v="3"/>
    <n v="16"/>
    <n v="3"/>
    <n v="3"/>
    <n v="80"/>
    <n v="1"/>
    <n v="15"/>
    <n v="3"/>
    <n v="1"/>
    <n v="0"/>
    <n v="1"/>
    <n v="0"/>
  </r>
  <r>
    <x v="1"/>
    <s v="Travel_Rarely"/>
    <x v="2"/>
    <s v="Current Employees"/>
    <x v="1"/>
    <x v="0"/>
    <s v="STAFF-1549"/>
    <n v="1549"/>
    <x v="1"/>
    <x v="2"/>
    <x v="1"/>
    <s v="Yes"/>
    <s v="Y"/>
    <n v="3"/>
    <n v="-2"/>
    <n v="0"/>
    <n v="33"/>
    <n v="0"/>
    <m/>
    <n v="0"/>
    <n v="1"/>
    <n v="589"/>
    <n v="28"/>
    <x v="2"/>
    <n v="1"/>
    <n v="2"/>
    <n v="79"/>
    <n v="3"/>
    <n v="2"/>
    <n v="3"/>
    <n v="5207"/>
    <n v="22949"/>
    <n v="1"/>
    <n v="12"/>
    <n v="3"/>
    <n v="2"/>
    <n v="80"/>
    <n v="1"/>
    <n v="15"/>
    <n v="3"/>
    <n v="15"/>
    <n v="14"/>
    <n v="5"/>
    <n v="7"/>
  </r>
  <r>
    <x v="1"/>
    <s v="Travel_Rarely"/>
    <x v="2"/>
    <s v="Current Employees"/>
    <x v="1"/>
    <x v="1"/>
    <s v="STAFF-2053"/>
    <n v="2053"/>
    <x v="1"/>
    <x v="2"/>
    <x v="1"/>
    <s v="Yes"/>
    <s v="Y"/>
    <n v="2"/>
    <n v="-2"/>
    <n v="0"/>
    <n v="29"/>
    <n v="0"/>
    <m/>
    <n v="0"/>
    <n v="1"/>
    <n v="1378"/>
    <n v="13"/>
    <x v="0"/>
    <n v="1"/>
    <n v="4"/>
    <n v="46"/>
    <n v="2"/>
    <n v="2"/>
    <n v="2"/>
    <n v="4025"/>
    <n v="23679"/>
    <n v="4"/>
    <n v="13"/>
    <n v="3"/>
    <n v="1"/>
    <n v="80"/>
    <n v="1"/>
    <n v="10"/>
    <n v="3"/>
    <n v="4"/>
    <n v="3"/>
    <n v="0"/>
    <n v="3"/>
  </r>
  <r>
    <x v="1"/>
    <s v="Travel_Rarely"/>
    <x v="0"/>
    <s v="Current Employees"/>
    <x v="1"/>
    <x v="0"/>
    <s v="STAFF-1790"/>
    <n v="1790"/>
    <x v="1"/>
    <x v="4"/>
    <x v="1"/>
    <s v="Yes"/>
    <s v="Y"/>
    <n v="1"/>
    <n v="-2"/>
    <n v="0"/>
    <n v="36"/>
    <n v="0"/>
    <m/>
    <n v="0"/>
    <n v="1"/>
    <n v="1383"/>
    <n v="10"/>
    <x v="3"/>
    <n v="1"/>
    <n v="4"/>
    <n v="90"/>
    <n v="3"/>
    <n v="3"/>
    <n v="1"/>
    <n v="8321"/>
    <n v="25949"/>
    <n v="7"/>
    <n v="13"/>
    <n v="3"/>
    <n v="4"/>
    <n v="80"/>
    <n v="1"/>
    <n v="15"/>
    <n v="3"/>
    <n v="12"/>
    <n v="8"/>
    <n v="5"/>
    <n v="7"/>
  </r>
  <r>
    <x v="1"/>
    <s v="Travel_Rarely"/>
    <x v="0"/>
    <s v="Current Employees"/>
    <x v="1"/>
    <x v="2"/>
    <s v="STAFF-2003"/>
    <n v="2003"/>
    <x v="1"/>
    <x v="2"/>
    <x v="1"/>
    <s v="Yes"/>
    <s v="Y"/>
    <n v="3"/>
    <n v="-2"/>
    <n v="0"/>
    <n v="35"/>
    <n v="0"/>
    <m/>
    <n v="0"/>
    <n v="1"/>
    <n v="1490"/>
    <n v="11"/>
    <x v="2"/>
    <n v="1"/>
    <n v="4"/>
    <n v="43"/>
    <n v="3"/>
    <n v="1"/>
    <n v="3"/>
    <n v="2660"/>
    <n v="20232"/>
    <n v="7"/>
    <n v="11"/>
    <n v="3"/>
    <n v="3"/>
    <n v="80"/>
    <n v="1"/>
    <n v="5"/>
    <n v="3"/>
    <n v="2"/>
    <n v="2"/>
    <n v="2"/>
    <n v="2"/>
  </r>
  <r>
    <x v="1"/>
    <s v="Travel_Rarely"/>
    <x v="1"/>
    <s v="Current Employees"/>
    <x v="1"/>
    <x v="4"/>
    <s v="STAFF-1465"/>
    <n v="1465"/>
    <x v="1"/>
    <x v="3"/>
    <x v="1"/>
    <s v="Yes"/>
    <s v="Y"/>
    <n v="4"/>
    <n v="-2"/>
    <n v="0"/>
    <n v="45"/>
    <n v="0"/>
    <m/>
    <n v="0"/>
    <n v="1"/>
    <n v="1448"/>
    <n v="29"/>
    <x v="3"/>
    <n v="1"/>
    <n v="4"/>
    <n v="55"/>
    <n v="3"/>
    <n v="3"/>
    <n v="4"/>
    <n v="9380"/>
    <n v="14720"/>
    <n v="4"/>
    <n v="18"/>
    <n v="3"/>
    <n v="4"/>
    <n v="80"/>
    <n v="2"/>
    <n v="10"/>
    <n v="4"/>
    <n v="3"/>
    <n v="1"/>
    <n v="1"/>
    <n v="2"/>
  </r>
  <r>
    <x v="1"/>
    <s v="Travel_Rarely"/>
    <x v="2"/>
    <s v="Current Employees"/>
    <x v="1"/>
    <x v="2"/>
    <s v="STAFF-1755"/>
    <n v="1755"/>
    <x v="1"/>
    <x v="1"/>
    <x v="1"/>
    <s v="Yes"/>
    <s v="Y"/>
    <n v="3"/>
    <n v="-2"/>
    <n v="0"/>
    <n v="34"/>
    <n v="0"/>
    <m/>
    <n v="0"/>
    <n v="1"/>
    <n v="181"/>
    <n v="2"/>
    <x v="2"/>
    <n v="1"/>
    <n v="4"/>
    <n v="97"/>
    <n v="4"/>
    <n v="1"/>
    <n v="4"/>
    <n v="2932"/>
    <n v="5586"/>
    <n v="0"/>
    <n v="14"/>
    <n v="3"/>
    <n v="1"/>
    <n v="80"/>
    <n v="3"/>
    <n v="6"/>
    <n v="3"/>
    <n v="5"/>
    <n v="0"/>
    <n v="1"/>
    <n v="2"/>
  </r>
  <r>
    <x v="1"/>
    <s v="Travel_Rarely"/>
    <x v="2"/>
    <s v="Current Employees"/>
    <x v="1"/>
    <x v="2"/>
    <s v="STAFF-1586"/>
    <n v="1586"/>
    <x v="1"/>
    <x v="2"/>
    <x v="0"/>
    <s v="Yes"/>
    <s v="Y"/>
    <n v="3"/>
    <n v="-2"/>
    <n v="0"/>
    <n v="29"/>
    <n v="0"/>
    <m/>
    <n v="0"/>
    <n v="1"/>
    <n v="1370"/>
    <n v="3"/>
    <x v="1"/>
    <n v="1"/>
    <n v="2"/>
    <n v="87"/>
    <n v="3"/>
    <n v="1"/>
    <n v="1"/>
    <n v="4723"/>
    <n v="16213"/>
    <n v="1"/>
    <n v="18"/>
    <n v="3"/>
    <n v="4"/>
    <n v="80"/>
    <n v="0"/>
    <n v="10"/>
    <n v="3"/>
    <n v="10"/>
    <n v="9"/>
    <n v="1"/>
    <n v="5"/>
  </r>
  <r>
    <x v="1"/>
    <s v="Travel_Rarely"/>
    <x v="0"/>
    <s v="Current Employees"/>
    <x v="1"/>
    <x v="2"/>
    <s v="STAFF-2020"/>
    <n v="2020"/>
    <x v="1"/>
    <x v="1"/>
    <x v="0"/>
    <s v="Yes"/>
    <s v="Y"/>
    <n v="2"/>
    <n v="-2"/>
    <n v="0"/>
    <n v="44"/>
    <n v="0"/>
    <m/>
    <n v="0"/>
    <n v="1"/>
    <n v="1037"/>
    <n v="1"/>
    <x v="3"/>
    <n v="1"/>
    <n v="2"/>
    <n v="42"/>
    <n v="3"/>
    <n v="1"/>
    <n v="4"/>
    <n v="2436"/>
    <n v="13422"/>
    <n v="6"/>
    <n v="12"/>
    <n v="3"/>
    <n v="3"/>
    <n v="80"/>
    <n v="0"/>
    <n v="6"/>
    <n v="3"/>
    <n v="4"/>
    <n v="3"/>
    <n v="1"/>
    <n v="2"/>
  </r>
  <r>
    <x v="1"/>
    <s v="Travel_Rarely"/>
    <x v="2"/>
    <s v="Current Employees"/>
    <x v="1"/>
    <x v="0"/>
    <s v="STAFF-1515"/>
    <n v="1515"/>
    <x v="1"/>
    <x v="4"/>
    <x v="0"/>
    <s v="Yes"/>
    <s v="Y"/>
    <n v="6"/>
    <n v="-2"/>
    <n v="0"/>
    <n v="33"/>
    <n v="0"/>
    <m/>
    <n v="0"/>
    <n v="1"/>
    <n v="516"/>
    <n v="8"/>
    <x v="4"/>
    <n v="1"/>
    <n v="4"/>
    <n v="69"/>
    <n v="3"/>
    <n v="2"/>
    <n v="3"/>
    <n v="6388"/>
    <n v="22049"/>
    <n v="2"/>
    <n v="17"/>
    <n v="3"/>
    <n v="1"/>
    <n v="80"/>
    <n v="0"/>
    <n v="14"/>
    <n v="3"/>
    <n v="0"/>
    <n v="0"/>
    <n v="0"/>
    <n v="0"/>
  </r>
  <r>
    <x v="1"/>
    <s v="Travel_Rarely"/>
    <x v="2"/>
    <s v="Current Employees"/>
    <x v="0"/>
    <x v="2"/>
    <s v="STAFF-1669"/>
    <n v="1669"/>
    <x v="1"/>
    <x v="0"/>
    <x v="2"/>
    <s v="Yes"/>
    <s v="Y"/>
    <n v="3"/>
    <n v="-2"/>
    <n v="0"/>
    <n v="29"/>
    <n v="0"/>
    <m/>
    <n v="0"/>
    <n v="1"/>
    <n v="991"/>
    <n v="5"/>
    <x v="3"/>
    <n v="1"/>
    <n v="1"/>
    <n v="43"/>
    <n v="2"/>
    <n v="2"/>
    <n v="2"/>
    <n v="4187"/>
    <n v="3356"/>
    <n v="1"/>
    <n v="13"/>
    <n v="3"/>
    <n v="2"/>
    <n v="80"/>
    <n v="1"/>
    <n v="10"/>
    <n v="2"/>
    <n v="10"/>
    <n v="0"/>
    <n v="0"/>
    <n v="9"/>
  </r>
  <r>
    <x v="1"/>
    <s v="Travel_Rarely"/>
    <x v="1"/>
    <s v="Current Employees"/>
    <x v="0"/>
    <x v="0"/>
    <s v="STAFF-1732"/>
    <n v="1732"/>
    <x v="1"/>
    <x v="0"/>
    <x v="2"/>
    <s v="Yes"/>
    <s v="Y"/>
    <n v="5"/>
    <n v="-2"/>
    <n v="0"/>
    <n v="46"/>
    <n v="0"/>
    <m/>
    <n v="0"/>
    <n v="1"/>
    <n v="1277"/>
    <n v="2"/>
    <x v="3"/>
    <n v="1"/>
    <n v="3"/>
    <n v="74"/>
    <n v="3"/>
    <n v="3"/>
    <n v="4"/>
    <n v="10368"/>
    <n v="5596"/>
    <n v="4"/>
    <n v="12"/>
    <n v="3"/>
    <n v="2"/>
    <n v="80"/>
    <n v="1"/>
    <n v="13"/>
    <n v="2"/>
    <n v="10"/>
    <n v="6"/>
    <n v="0"/>
    <n v="3"/>
  </r>
  <r>
    <x v="1"/>
    <s v="Travel_Rarely"/>
    <x v="0"/>
    <s v="Current Employees"/>
    <x v="0"/>
    <x v="3"/>
    <s v="STAFF-1943"/>
    <n v="1943"/>
    <x v="1"/>
    <x v="0"/>
    <x v="2"/>
    <s v="Yes"/>
    <s v="Y"/>
    <n v="4"/>
    <n v="-2"/>
    <n v="0"/>
    <n v="42"/>
    <n v="0"/>
    <m/>
    <n v="0"/>
    <n v="1"/>
    <n v="419"/>
    <n v="12"/>
    <x v="2"/>
    <n v="1"/>
    <n v="2"/>
    <n v="77"/>
    <n v="3"/>
    <n v="2"/>
    <n v="1"/>
    <n v="5087"/>
    <n v="2900"/>
    <n v="3"/>
    <n v="12"/>
    <n v="3"/>
    <n v="3"/>
    <n v="80"/>
    <n v="2"/>
    <n v="14"/>
    <n v="3"/>
    <n v="0"/>
    <n v="0"/>
    <n v="0"/>
    <n v="0"/>
  </r>
  <r>
    <x v="1"/>
    <s v="Travel_Rarely"/>
    <x v="2"/>
    <s v="Current Employees"/>
    <x v="0"/>
    <x v="4"/>
    <s v="STAFF-1535"/>
    <n v="1535"/>
    <x v="1"/>
    <x v="0"/>
    <x v="1"/>
    <s v="Yes"/>
    <s v="Y"/>
    <n v="3"/>
    <n v="-2"/>
    <n v="0"/>
    <n v="34"/>
    <n v="0"/>
    <m/>
    <n v="0"/>
    <n v="1"/>
    <n v="971"/>
    <n v="1"/>
    <x v="3"/>
    <n v="1"/>
    <n v="4"/>
    <n v="64"/>
    <n v="2"/>
    <n v="3"/>
    <n v="4"/>
    <n v="7083"/>
    <n v="12288"/>
    <n v="1"/>
    <n v="14"/>
    <n v="3"/>
    <n v="4"/>
    <n v="80"/>
    <n v="0"/>
    <n v="10"/>
    <n v="3"/>
    <n v="10"/>
    <n v="9"/>
    <n v="8"/>
    <n v="6"/>
  </r>
  <r>
    <x v="1"/>
    <s v="Travel_Rarely"/>
    <x v="1"/>
    <s v="Current Employees"/>
    <x v="0"/>
    <x v="3"/>
    <s v="STAFF-1591"/>
    <n v="1591"/>
    <x v="1"/>
    <x v="5"/>
    <x v="1"/>
    <s v="Yes"/>
    <s v="Y"/>
    <n v="2"/>
    <n v="-2"/>
    <n v="0"/>
    <n v="50"/>
    <n v="0"/>
    <m/>
    <n v="0"/>
    <n v="1"/>
    <n v="264"/>
    <n v="9"/>
    <x v="3"/>
    <n v="1"/>
    <n v="3"/>
    <n v="59"/>
    <n v="3"/>
    <n v="5"/>
    <n v="1"/>
    <n v="19331"/>
    <n v="19519"/>
    <n v="4"/>
    <n v="16"/>
    <n v="3"/>
    <n v="3"/>
    <n v="80"/>
    <n v="1"/>
    <n v="27"/>
    <n v="3"/>
    <n v="1"/>
    <n v="0"/>
    <n v="0"/>
    <n v="0"/>
  </r>
  <r>
    <x v="1"/>
    <s v="Travel_Rarely"/>
    <x v="0"/>
    <s v="Current Employees"/>
    <x v="0"/>
    <x v="2"/>
    <s v="STAFF-1706"/>
    <n v="1706"/>
    <x v="1"/>
    <x v="0"/>
    <x v="1"/>
    <s v="Yes"/>
    <s v="Y"/>
    <n v="3"/>
    <n v="-2"/>
    <n v="0"/>
    <n v="43"/>
    <n v="0"/>
    <m/>
    <n v="0"/>
    <n v="1"/>
    <n v="1179"/>
    <n v="2"/>
    <x v="3"/>
    <n v="1"/>
    <n v="4"/>
    <n v="73"/>
    <n v="3"/>
    <n v="2"/>
    <n v="4"/>
    <n v="7847"/>
    <n v="6069"/>
    <n v="1"/>
    <n v="17"/>
    <n v="3"/>
    <n v="1"/>
    <n v="80"/>
    <n v="1"/>
    <n v="10"/>
    <n v="3"/>
    <n v="10"/>
    <n v="9"/>
    <n v="8"/>
    <n v="8"/>
  </r>
  <r>
    <x v="1"/>
    <s v="Travel_Rarely"/>
    <x v="2"/>
    <s v="Current Employees"/>
    <x v="0"/>
    <x v="0"/>
    <s v="STAFF-1882"/>
    <n v="1882"/>
    <x v="1"/>
    <x v="0"/>
    <x v="1"/>
    <s v="Yes"/>
    <s v="Y"/>
    <n v="3"/>
    <n v="-2"/>
    <n v="0"/>
    <n v="34"/>
    <n v="0"/>
    <m/>
    <n v="0"/>
    <n v="1"/>
    <n v="1480"/>
    <n v="4"/>
    <x v="3"/>
    <n v="1"/>
    <n v="3"/>
    <n v="64"/>
    <n v="3"/>
    <n v="3"/>
    <n v="4"/>
    <n v="9713"/>
    <n v="24444"/>
    <n v="2"/>
    <n v="13"/>
    <n v="3"/>
    <n v="4"/>
    <n v="80"/>
    <n v="3"/>
    <n v="9"/>
    <n v="3"/>
    <n v="5"/>
    <n v="3"/>
    <n v="1"/>
    <n v="0"/>
  </r>
  <r>
    <x v="1"/>
    <s v="Travel_Rarely"/>
    <x v="4"/>
    <s v="Current Employees"/>
    <x v="0"/>
    <x v="2"/>
    <s v="STAFF-2021"/>
    <n v="2021"/>
    <x v="1"/>
    <x v="6"/>
    <x v="0"/>
    <s v="Yes"/>
    <s v="Y"/>
    <n v="6"/>
    <n v="-2"/>
    <n v="0"/>
    <n v="21"/>
    <n v="0"/>
    <m/>
    <n v="0"/>
    <n v="1"/>
    <n v="501"/>
    <n v="5"/>
    <x v="1"/>
    <n v="1"/>
    <n v="3"/>
    <n v="58"/>
    <n v="3"/>
    <n v="1"/>
    <n v="1"/>
    <n v="2380"/>
    <n v="25479"/>
    <n v="1"/>
    <n v="11"/>
    <n v="3"/>
    <n v="4"/>
    <n v="80"/>
    <n v="0"/>
    <n v="2"/>
    <n v="3"/>
    <n v="2"/>
    <n v="2"/>
    <n v="1"/>
    <n v="2"/>
  </r>
  <r>
    <x v="1"/>
    <s v="Travel_Rarely"/>
    <x v="0"/>
    <s v="Current Employees"/>
    <x v="0"/>
    <x v="0"/>
    <s v="STAFF-1678"/>
    <n v="1678"/>
    <x v="1"/>
    <x v="0"/>
    <x v="0"/>
    <s v="Yes"/>
    <s v="Y"/>
    <n v="2"/>
    <n v="-2"/>
    <n v="0"/>
    <n v="41"/>
    <n v="0"/>
    <m/>
    <n v="0"/>
    <n v="1"/>
    <n v="1206"/>
    <n v="23"/>
    <x v="0"/>
    <n v="1"/>
    <n v="4"/>
    <n v="80"/>
    <n v="3"/>
    <n v="3"/>
    <n v="3"/>
    <n v="7082"/>
    <n v="11591"/>
    <n v="3"/>
    <n v="16"/>
    <n v="3"/>
    <n v="4"/>
    <n v="80"/>
    <n v="0"/>
    <n v="21"/>
    <n v="3"/>
    <n v="2"/>
    <n v="0"/>
    <n v="0"/>
    <n v="2"/>
  </r>
  <r>
    <x v="1"/>
    <s v="Non-Travel"/>
    <x v="2"/>
    <s v="Current Employees"/>
    <x v="1"/>
    <x v="2"/>
    <s v="STAFF-1979"/>
    <n v="1979"/>
    <x v="0"/>
    <x v="7"/>
    <x v="1"/>
    <s v="No"/>
    <s v="Y"/>
    <n v="2"/>
    <n v="-2"/>
    <n v="0"/>
    <n v="31"/>
    <n v="0"/>
    <m/>
    <n v="0"/>
    <n v="1"/>
    <n v="697"/>
    <n v="10"/>
    <x v="3"/>
    <n v="1"/>
    <n v="3"/>
    <n v="40"/>
    <n v="3"/>
    <n v="3"/>
    <n v="3"/>
    <n v="11031"/>
    <n v="26862"/>
    <n v="4"/>
    <n v="20"/>
    <n v="4"/>
    <n v="3"/>
    <n v="80"/>
    <n v="1"/>
    <n v="13"/>
    <n v="4"/>
    <n v="11"/>
    <n v="7"/>
    <n v="4"/>
    <n v="8"/>
  </r>
  <r>
    <x v="1"/>
    <s v="Non-Travel"/>
    <x v="1"/>
    <s v="Current Employees"/>
    <x v="0"/>
    <x v="0"/>
    <s v="STAFF-1845"/>
    <n v="1845"/>
    <x v="0"/>
    <x v="0"/>
    <x v="1"/>
    <s v="No"/>
    <s v="Y"/>
    <n v="3"/>
    <n v="-2"/>
    <n v="0"/>
    <n v="45"/>
    <n v="0"/>
    <m/>
    <n v="0"/>
    <n v="1"/>
    <n v="589"/>
    <n v="2"/>
    <x v="2"/>
    <n v="1"/>
    <n v="3"/>
    <n v="67"/>
    <n v="3"/>
    <n v="2"/>
    <n v="3"/>
    <n v="5154"/>
    <n v="19665"/>
    <n v="4"/>
    <n v="22"/>
    <n v="4"/>
    <n v="2"/>
    <n v="80"/>
    <n v="2"/>
    <n v="10"/>
    <n v="4"/>
    <n v="8"/>
    <n v="7"/>
    <n v="5"/>
    <n v="7"/>
  </r>
  <r>
    <x v="1"/>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x v="1"/>
    <s v="Travel_Frequently"/>
    <x v="0"/>
    <s v="Current Employees"/>
    <x v="1"/>
    <x v="2"/>
    <s v="STAFF-1675"/>
    <n v="1675"/>
    <x v="0"/>
    <x v="2"/>
    <x v="0"/>
    <s v="No"/>
    <s v="Y"/>
    <n v="3"/>
    <n v="-2"/>
    <n v="0"/>
    <n v="38"/>
    <n v="0"/>
    <m/>
    <n v="0"/>
    <n v="1"/>
    <n v="148"/>
    <n v="2"/>
    <x v="3"/>
    <n v="1"/>
    <n v="4"/>
    <n v="42"/>
    <n v="2"/>
    <n v="1"/>
    <n v="2"/>
    <n v="2440"/>
    <n v="23826"/>
    <n v="1"/>
    <n v="22"/>
    <n v="4"/>
    <n v="2"/>
    <n v="80"/>
    <n v="0"/>
    <n v="4"/>
    <n v="3"/>
    <n v="4"/>
    <n v="3"/>
    <n v="3"/>
    <n v="3"/>
  </r>
  <r>
    <x v="1"/>
    <s v="Travel_Frequently"/>
    <x v="2"/>
    <s v="Current Employees"/>
    <x v="1"/>
    <x v="4"/>
    <s v="STAFF-1736"/>
    <n v="1736"/>
    <x v="0"/>
    <x v="3"/>
    <x v="0"/>
    <s v="No"/>
    <s v="Y"/>
    <n v="3"/>
    <n v="-2"/>
    <n v="0"/>
    <n v="31"/>
    <n v="0"/>
    <m/>
    <n v="0"/>
    <n v="1"/>
    <n v="163"/>
    <n v="24"/>
    <x v="1"/>
    <n v="1"/>
    <n v="4"/>
    <n v="30"/>
    <n v="3"/>
    <n v="2"/>
    <n v="4"/>
    <n v="5238"/>
    <n v="6670"/>
    <n v="2"/>
    <n v="20"/>
    <n v="4"/>
    <n v="4"/>
    <n v="80"/>
    <n v="0"/>
    <n v="9"/>
    <n v="2"/>
    <n v="5"/>
    <n v="4"/>
    <n v="1"/>
    <n v="4"/>
  </r>
  <r>
    <x v="1"/>
    <s v="Travel_Rarely"/>
    <x v="1"/>
    <s v="Current Employees"/>
    <x v="2"/>
    <x v="0"/>
    <s v="STAFF-1744"/>
    <n v="1744"/>
    <x v="0"/>
    <x v="8"/>
    <x v="1"/>
    <s v="No"/>
    <s v="Y"/>
    <n v="2"/>
    <n v="-2"/>
    <n v="0"/>
    <n v="45"/>
    <n v="0"/>
    <m/>
    <n v="0"/>
    <n v="1"/>
    <n v="176"/>
    <n v="4"/>
    <x v="3"/>
    <n v="1"/>
    <n v="3"/>
    <n v="56"/>
    <n v="1"/>
    <n v="3"/>
    <n v="3"/>
    <n v="9756"/>
    <n v="6595"/>
    <n v="4"/>
    <n v="21"/>
    <n v="4"/>
    <n v="3"/>
    <n v="80"/>
    <n v="2"/>
    <n v="9"/>
    <n v="4"/>
    <n v="5"/>
    <n v="0"/>
    <n v="0"/>
    <n v="3"/>
  </r>
  <r>
    <x v="1"/>
    <s v="Travel_Rarely"/>
    <x v="2"/>
    <s v="Current Employees"/>
    <x v="1"/>
    <x v="2"/>
    <s v="STAFF-1622"/>
    <n v="1622"/>
    <x v="0"/>
    <x v="3"/>
    <x v="2"/>
    <s v="No"/>
    <s v="Y"/>
    <n v="5"/>
    <n v="-2"/>
    <n v="0"/>
    <n v="28"/>
    <n v="0"/>
    <m/>
    <n v="0"/>
    <n v="1"/>
    <n v="580"/>
    <n v="27"/>
    <x v="3"/>
    <n v="1"/>
    <n v="2"/>
    <n v="39"/>
    <n v="1"/>
    <n v="2"/>
    <n v="1"/>
    <n v="4877"/>
    <n v="20460"/>
    <n v="0"/>
    <n v="21"/>
    <n v="4"/>
    <n v="2"/>
    <n v="80"/>
    <n v="1"/>
    <n v="6"/>
    <n v="2"/>
    <n v="5"/>
    <n v="3"/>
    <n v="0"/>
    <n v="0"/>
  </r>
  <r>
    <x v="1"/>
    <s v="Travel_Rarely"/>
    <x v="2"/>
    <s v="Current Employees"/>
    <x v="1"/>
    <x v="0"/>
    <s v="STAFF-1581"/>
    <n v="1581"/>
    <x v="0"/>
    <x v="1"/>
    <x v="1"/>
    <s v="No"/>
    <s v="Y"/>
    <n v="5"/>
    <n v="-2"/>
    <n v="0"/>
    <n v="26"/>
    <n v="0"/>
    <m/>
    <n v="0"/>
    <n v="1"/>
    <n v="474"/>
    <n v="3"/>
    <x v="3"/>
    <n v="1"/>
    <n v="1"/>
    <n v="89"/>
    <n v="3"/>
    <n v="1"/>
    <n v="4"/>
    <n v="2061"/>
    <n v="11133"/>
    <n v="1"/>
    <n v="21"/>
    <n v="4"/>
    <n v="1"/>
    <n v="80"/>
    <n v="0"/>
    <n v="1"/>
    <n v="3"/>
    <n v="1"/>
    <n v="0"/>
    <n v="0"/>
    <n v="0"/>
  </r>
  <r>
    <x v="1"/>
    <s v="Travel_Rarely"/>
    <x v="0"/>
    <s v="Current Employees"/>
    <x v="1"/>
    <x v="0"/>
    <s v="STAFF-2034"/>
    <n v="2034"/>
    <x v="0"/>
    <x v="3"/>
    <x v="1"/>
    <s v="No"/>
    <s v="Y"/>
    <n v="3"/>
    <n v="-2"/>
    <n v="0"/>
    <n v="41"/>
    <n v="0"/>
    <m/>
    <n v="0"/>
    <n v="1"/>
    <n v="582"/>
    <n v="28"/>
    <x v="2"/>
    <n v="1"/>
    <n v="1"/>
    <n v="60"/>
    <n v="2"/>
    <n v="4"/>
    <n v="2"/>
    <n v="13570"/>
    <n v="5640"/>
    <n v="0"/>
    <n v="23"/>
    <n v="4"/>
    <n v="3"/>
    <n v="80"/>
    <n v="1"/>
    <n v="21"/>
    <n v="3"/>
    <n v="20"/>
    <n v="7"/>
    <n v="0"/>
    <n v="10"/>
  </r>
  <r>
    <x v="1"/>
    <s v="Travel_Rarely"/>
    <x v="3"/>
    <s v="Current Employees"/>
    <x v="1"/>
    <x v="0"/>
    <s v="STAFF-1441"/>
    <n v="1441"/>
    <x v="0"/>
    <x v="1"/>
    <x v="1"/>
    <s v="No"/>
    <s v="Y"/>
    <n v="3"/>
    <n v="-2"/>
    <n v="0"/>
    <n v="56"/>
    <n v="0"/>
    <m/>
    <n v="0"/>
    <n v="1"/>
    <n v="1255"/>
    <n v="1"/>
    <x v="0"/>
    <n v="1"/>
    <n v="1"/>
    <n v="90"/>
    <n v="3"/>
    <n v="1"/>
    <n v="1"/>
    <n v="2066"/>
    <n v="10494"/>
    <n v="2"/>
    <n v="22"/>
    <n v="4"/>
    <n v="4"/>
    <n v="80"/>
    <n v="1"/>
    <n v="5"/>
    <n v="4"/>
    <n v="3"/>
    <n v="2"/>
    <n v="1"/>
    <n v="0"/>
  </r>
  <r>
    <x v="1"/>
    <s v="Travel_Rarely"/>
    <x v="1"/>
    <s v="Current Employees"/>
    <x v="1"/>
    <x v="2"/>
    <s v="STAFF-1665"/>
    <n v="1665"/>
    <x v="0"/>
    <x v="5"/>
    <x v="1"/>
    <s v="No"/>
    <s v="Y"/>
    <n v="6"/>
    <n v="-2"/>
    <n v="0"/>
    <n v="54"/>
    <n v="0"/>
    <m/>
    <n v="0"/>
    <n v="1"/>
    <n v="584"/>
    <n v="22"/>
    <x v="4"/>
    <n v="1"/>
    <n v="2"/>
    <n v="91"/>
    <n v="3"/>
    <n v="4"/>
    <n v="3"/>
    <n v="17426"/>
    <n v="18685"/>
    <n v="3"/>
    <n v="25"/>
    <n v="4"/>
    <n v="3"/>
    <n v="80"/>
    <n v="1"/>
    <n v="36"/>
    <n v="3"/>
    <n v="10"/>
    <n v="8"/>
    <n v="4"/>
    <n v="7"/>
  </r>
  <r>
    <x v="1"/>
    <s v="Travel_Rarely"/>
    <x v="1"/>
    <s v="Current Employees"/>
    <x v="1"/>
    <x v="2"/>
    <s v="STAFF-1509"/>
    <n v="1509"/>
    <x v="0"/>
    <x v="2"/>
    <x v="1"/>
    <s v="No"/>
    <s v="Y"/>
    <n v="3"/>
    <n v="-2"/>
    <n v="0"/>
    <n v="49"/>
    <n v="0"/>
    <m/>
    <n v="0"/>
    <n v="1"/>
    <n v="271"/>
    <n v="3"/>
    <x v="0"/>
    <n v="1"/>
    <n v="3"/>
    <n v="43"/>
    <n v="2"/>
    <n v="2"/>
    <n v="1"/>
    <n v="4789"/>
    <n v="23070"/>
    <n v="4"/>
    <n v="25"/>
    <n v="4"/>
    <n v="1"/>
    <n v="80"/>
    <n v="1"/>
    <n v="10"/>
    <n v="3"/>
    <n v="3"/>
    <n v="2"/>
    <n v="1"/>
    <n v="2"/>
  </r>
  <r>
    <x v="1"/>
    <s v="Travel_Rarely"/>
    <x v="2"/>
    <s v="Current Employees"/>
    <x v="1"/>
    <x v="2"/>
    <s v="STAFF-1834"/>
    <n v="1834"/>
    <x v="0"/>
    <x v="1"/>
    <x v="1"/>
    <s v="No"/>
    <s v="Y"/>
    <n v="3"/>
    <n v="-2"/>
    <n v="0"/>
    <n v="28"/>
    <n v="0"/>
    <m/>
    <n v="0"/>
    <n v="1"/>
    <n v="1217"/>
    <n v="1"/>
    <x v="3"/>
    <n v="1"/>
    <n v="3"/>
    <n v="67"/>
    <n v="3"/>
    <n v="1"/>
    <n v="1"/>
    <n v="3591"/>
    <n v="12719"/>
    <n v="1"/>
    <n v="25"/>
    <n v="4"/>
    <n v="3"/>
    <n v="80"/>
    <n v="1"/>
    <n v="3"/>
    <n v="3"/>
    <n v="3"/>
    <n v="2"/>
    <n v="1"/>
    <n v="2"/>
  </r>
  <r>
    <x v="1"/>
    <s v="Travel_Rarely"/>
    <x v="2"/>
    <s v="Current Employees"/>
    <x v="0"/>
    <x v="2"/>
    <s v="STAFF-1864"/>
    <n v="1864"/>
    <x v="0"/>
    <x v="6"/>
    <x v="1"/>
    <s v="No"/>
    <s v="Y"/>
    <n v="5"/>
    <n v="-2"/>
    <n v="0"/>
    <n v="27"/>
    <n v="0"/>
    <m/>
    <n v="0"/>
    <n v="1"/>
    <n v="728"/>
    <n v="23"/>
    <x v="1"/>
    <n v="1"/>
    <n v="2"/>
    <n v="36"/>
    <n v="2"/>
    <n v="2"/>
    <n v="3"/>
    <n v="3540"/>
    <n v="7018"/>
    <n v="1"/>
    <n v="21"/>
    <n v="4"/>
    <n v="4"/>
    <n v="80"/>
    <n v="1"/>
    <n v="9"/>
    <n v="3"/>
    <n v="9"/>
    <n v="8"/>
    <n v="5"/>
    <n v="8"/>
  </r>
  <r>
    <x v="1"/>
    <s v="Travel_Rarely"/>
    <x v="0"/>
    <s v="Current Employees"/>
    <x v="0"/>
    <x v="3"/>
    <s v="STAFF-1909"/>
    <n v="1909"/>
    <x v="0"/>
    <x v="0"/>
    <x v="1"/>
    <s v="No"/>
    <s v="Y"/>
    <n v="3"/>
    <n v="-2"/>
    <n v="0"/>
    <n v="41"/>
    <n v="0"/>
    <m/>
    <n v="0"/>
    <n v="1"/>
    <n v="337"/>
    <n v="8"/>
    <x v="3"/>
    <n v="1"/>
    <n v="3"/>
    <n v="54"/>
    <n v="3"/>
    <n v="2"/>
    <n v="1"/>
    <n v="4393"/>
    <n v="26841"/>
    <n v="5"/>
    <n v="21"/>
    <n v="4"/>
    <n v="3"/>
    <n v="80"/>
    <n v="1"/>
    <n v="14"/>
    <n v="3"/>
    <n v="5"/>
    <n v="4"/>
    <n v="1"/>
    <n v="4"/>
  </r>
  <r>
    <x v="1"/>
    <s v="Travel_Rarely"/>
    <x v="0"/>
    <s v="Current Employees"/>
    <x v="0"/>
    <x v="0"/>
    <s v="STAFF-1554"/>
    <n v="1554"/>
    <x v="0"/>
    <x v="6"/>
    <x v="1"/>
    <s v="No"/>
    <s v="Y"/>
    <n v="5"/>
    <n v="-2"/>
    <n v="0"/>
    <n v="35"/>
    <n v="0"/>
    <m/>
    <n v="0"/>
    <n v="1"/>
    <n v="1402"/>
    <n v="28"/>
    <x v="2"/>
    <n v="1"/>
    <n v="2"/>
    <n v="98"/>
    <n v="2"/>
    <n v="1"/>
    <n v="3"/>
    <n v="2430"/>
    <n v="26204"/>
    <n v="0"/>
    <n v="23"/>
    <n v="4"/>
    <n v="1"/>
    <n v="80"/>
    <n v="2"/>
    <n v="6"/>
    <n v="3"/>
    <n v="5"/>
    <n v="3"/>
    <n v="4"/>
    <n v="2"/>
  </r>
  <r>
    <x v="1"/>
    <s v="Travel_Rarely"/>
    <x v="2"/>
    <s v="Current Employees"/>
    <x v="0"/>
    <x v="3"/>
    <s v="STAFF-2035"/>
    <n v="2035"/>
    <x v="0"/>
    <x v="0"/>
    <x v="1"/>
    <s v="No"/>
    <s v="Y"/>
    <n v="2"/>
    <n v="-2"/>
    <n v="0"/>
    <n v="34"/>
    <n v="0"/>
    <m/>
    <n v="0"/>
    <n v="1"/>
    <n v="704"/>
    <n v="28"/>
    <x v="3"/>
    <n v="1"/>
    <n v="4"/>
    <n v="95"/>
    <n v="2"/>
    <n v="2"/>
    <n v="1"/>
    <n v="6712"/>
    <n v="8978"/>
    <n v="1"/>
    <n v="21"/>
    <n v="4"/>
    <n v="4"/>
    <n v="80"/>
    <n v="2"/>
    <n v="8"/>
    <n v="3"/>
    <n v="8"/>
    <n v="7"/>
    <n v="1"/>
    <n v="7"/>
  </r>
  <r>
    <x v="1"/>
    <s v="Non-Travel"/>
    <x v="3"/>
    <s v="Current Employees"/>
    <x v="1"/>
    <x v="0"/>
    <s v="STAFF-2026"/>
    <n v="2026"/>
    <x v="1"/>
    <x v="4"/>
    <x v="2"/>
    <s v="No"/>
    <s v="Y"/>
    <n v="2"/>
    <n v="-2"/>
    <n v="0"/>
    <n v="56"/>
    <n v="0"/>
    <m/>
    <n v="0"/>
    <n v="1"/>
    <n v="667"/>
    <n v="1"/>
    <x v="2"/>
    <n v="1"/>
    <n v="3"/>
    <n v="57"/>
    <n v="3"/>
    <n v="2"/>
    <n v="3"/>
    <n v="6306"/>
    <n v="26236"/>
    <n v="1"/>
    <n v="21"/>
    <n v="4"/>
    <n v="1"/>
    <n v="80"/>
    <n v="1"/>
    <n v="13"/>
    <n v="2"/>
    <n v="13"/>
    <n v="12"/>
    <n v="1"/>
    <n v="9"/>
  </r>
  <r>
    <x v="1"/>
    <s v="Non-Travel"/>
    <x v="0"/>
    <s v="Current Employees"/>
    <x v="1"/>
    <x v="0"/>
    <s v="STAFF-1949"/>
    <n v="1949"/>
    <x v="1"/>
    <x v="2"/>
    <x v="1"/>
    <s v="No"/>
    <s v="Y"/>
    <n v="3"/>
    <n v="-2"/>
    <n v="0"/>
    <n v="36"/>
    <n v="0"/>
    <m/>
    <n v="0"/>
    <n v="1"/>
    <n v="1351"/>
    <n v="9"/>
    <x v="2"/>
    <n v="1"/>
    <n v="1"/>
    <n v="66"/>
    <n v="4"/>
    <n v="1"/>
    <n v="2"/>
    <n v="2810"/>
    <n v="9238"/>
    <n v="1"/>
    <n v="22"/>
    <n v="4"/>
    <n v="2"/>
    <n v="80"/>
    <n v="0"/>
    <n v="5"/>
    <n v="3"/>
    <n v="5"/>
    <n v="4"/>
    <n v="0"/>
    <n v="2"/>
  </r>
  <r>
    <x v="1"/>
    <s v="Non-Travel"/>
    <x v="1"/>
    <s v="Current Employees"/>
    <x v="1"/>
    <x v="0"/>
    <s v="STAFF-1712"/>
    <n v="1712"/>
    <x v="1"/>
    <x v="4"/>
    <x v="1"/>
    <s v="No"/>
    <s v="Y"/>
    <n v="3"/>
    <n v="-2"/>
    <n v="0"/>
    <n v="45"/>
    <n v="0"/>
    <m/>
    <n v="0"/>
    <n v="1"/>
    <n v="1238"/>
    <n v="1"/>
    <x v="1"/>
    <n v="1"/>
    <n v="3"/>
    <n v="74"/>
    <n v="2"/>
    <n v="3"/>
    <n v="3"/>
    <n v="10748"/>
    <n v="3395"/>
    <n v="3"/>
    <n v="23"/>
    <n v="4"/>
    <n v="4"/>
    <n v="80"/>
    <n v="1"/>
    <n v="25"/>
    <n v="2"/>
    <n v="23"/>
    <n v="15"/>
    <n v="14"/>
    <n v="4"/>
  </r>
  <r>
    <x v="1"/>
    <s v="Non-Travel"/>
    <x v="0"/>
    <s v="Current Employees"/>
    <x v="1"/>
    <x v="4"/>
    <s v="STAFF-1854"/>
    <n v="1854"/>
    <x v="1"/>
    <x v="1"/>
    <x v="1"/>
    <s v="No"/>
    <s v="Y"/>
    <n v="1"/>
    <n v="-2"/>
    <n v="0"/>
    <n v="42"/>
    <n v="0"/>
    <m/>
    <n v="0"/>
    <n v="1"/>
    <n v="355"/>
    <n v="10"/>
    <x v="2"/>
    <n v="1"/>
    <n v="4"/>
    <n v="38"/>
    <n v="3"/>
    <n v="1"/>
    <n v="4"/>
    <n v="2936"/>
    <n v="6161"/>
    <n v="3"/>
    <n v="22"/>
    <n v="4"/>
    <n v="2"/>
    <n v="80"/>
    <n v="2"/>
    <n v="10"/>
    <n v="2"/>
    <n v="6"/>
    <n v="3"/>
    <n v="3"/>
    <n v="3"/>
  </r>
  <r>
    <x v="1"/>
    <s v="Non-Travel"/>
    <x v="2"/>
    <s v="Current Employees"/>
    <x v="1"/>
    <x v="2"/>
    <s v="STAFF-1693"/>
    <n v="1693"/>
    <x v="1"/>
    <x v="2"/>
    <x v="0"/>
    <s v="No"/>
    <s v="Y"/>
    <n v="5"/>
    <n v="-2"/>
    <n v="0"/>
    <n v="26"/>
    <n v="0"/>
    <m/>
    <n v="0"/>
    <n v="1"/>
    <n v="786"/>
    <n v="7"/>
    <x v="3"/>
    <n v="1"/>
    <n v="4"/>
    <n v="76"/>
    <n v="3"/>
    <n v="1"/>
    <n v="4"/>
    <n v="2570"/>
    <n v="11925"/>
    <n v="1"/>
    <n v="20"/>
    <n v="4"/>
    <n v="3"/>
    <n v="80"/>
    <n v="0"/>
    <n v="7"/>
    <n v="3"/>
    <n v="7"/>
    <n v="7"/>
    <n v="5"/>
    <n v="7"/>
  </r>
  <r>
    <x v="1"/>
    <s v="Non-Travel"/>
    <x v="3"/>
    <s v="Current Employees"/>
    <x v="0"/>
    <x v="2"/>
    <s v="STAFF-1824"/>
    <n v="1824"/>
    <x v="1"/>
    <x v="5"/>
    <x v="2"/>
    <s v="No"/>
    <s v="Y"/>
    <n v="0"/>
    <n v="-2"/>
    <n v="0"/>
    <n v="58"/>
    <n v="0"/>
    <m/>
    <n v="0"/>
    <n v="1"/>
    <n v="350"/>
    <n v="2"/>
    <x v="3"/>
    <n v="1"/>
    <n v="2"/>
    <n v="52"/>
    <n v="3"/>
    <n v="4"/>
    <n v="2"/>
    <n v="16291"/>
    <n v="22577"/>
    <n v="4"/>
    <n v="22"/>
    <n v="4"/>
    <n v="4"/>
    <n v="80"/>
    <n v="1"/>
    <n v="37"/>
    <n v="2"/>
    <n v="16"/>
    <n v="9"/>
    <n v="14"/>
    <n v="14"/>
  </r>
  <r>
    <x v="1"/>
    <s v="Non-Travel"/>
    <x v="0"/>
    <s v="Current Employees"/>
    <x v="0"/>
    <x v="3"/>
    <s v="STAFF-2036"/>
    <n v="2036"/>
    <x v="1"/>
    <x v="0"/>
    <x v="2"/>
    <s v="No"/>
    <s v="Y"/>
    <n v="4"/>
    <n v="-2"/>
    <n v="0"/>
    <n v="36"/>
    <n v="0"/>
    <m/>
    <n v="0"/>
    <n v="1"/>
    <n v="301"/>
    <n v="15"/>
    <x v="2"/>
    <n v="1"/>
    <n v="4"/>
    <n v="88"/>
    <n v="1"/>
    <n v="2"/>
    <n v="1"/>
    <n v="5406"/>
    <n v="10436"/>
    <n v="1"/>
    <n v="24"/>
    <n v="4"/>
    <n v="1"/>
    <n v="80"/>
    <n v="1"/>
    <n v="15"/>
    <n v="2"/>
    <n v="15"/>
    <n v="12"/>
    <n v="11"/>
    <n v="11"/>
  </r>
  <r>
    <x v="1"/>
    <s v="Travel_Frequently"/>
    <x v="0"/>
    <s v="Current Employees"/>
    <x v="2"/>
    <x v="5"/>
    <s v="STAFF-1890"/>
    <n v="1890"/>
    <x v="1"/>
    <x v="8"/>
    <x v="0"/>
    <s v="No"/>
    <s v="Y"/>
    <n v="2"/>
    <n v="-2"/>
    <n v="0"/>
    <n v="36"/>
    <n v="0"/>
    <m/>
    <n v="0"/>
    <n v="1"/>
    <n v="1213"/>
    <n v="2"/>
    <x v="1"/>
    <n v="1"/>
    <n v="2"/>
    <n v="94"/>
    <n v="2"/>
    <n v="2"/>
    <n v="4"/>
    <n v="3886"/>
    <n v="4223"/>
    <n v="1"/>
    <n v="21"/>
    <n v="4"/>
    <n v="4"/>
    <n v="80"/>
    <n v="0"/>
    <n v="10"/>
    <n v="2"/>
    <n v="10"/>
    <n v="1"/>
    <n v="0"/>
    <n v="8"/>
  </r>
  <r>
    <x v="1"/>
    <s v="Travel_Frequently"/>
    <x v="2"/>
    <s v="Current Employees"/>
    <x v="1"/>
    <x v="0"/>
    <s v="STAFF-1970"/>
    <n v="1970"/>
    <x v="1"/>
    <x v="4"/>
    <x v="2"/>
    <s v="No"/>
    <s v="Y"/>
    <n v="2"/>
    <n v="-2"/>
    <n v="0"/>
    <n v="33"/>
    <n v="0"/>
    <m/>
    <n v="0"/>
    <n v="1"/>
    <n v="1303"/>
    <n v="7"/>
    <x v="0"/>
    <n v="1"/>
    <n v="4"/>
    <n v="36"/>
    <n v="3"/>
    <n v="2"/>
    <n v="3"/>
    <n v="5968"/>
    <n v="18079"/>
    <n v="1"/>
    <n v="20"/>
    <n v="4"/>
    <n v="3"/>
    <n v="80"/>
    <n v="3"/>
    <n v="9"/>
    <n v="3"/>
    <n v="9"/>
    <n v="7"/>
    <n v="2"/>
    <n v="8"/>
  </r>
  <r>
    <x v="1"/>
    <s v="Travel_Frequently"/>
    <x v="2"/>
    <s v="Current Employees"/>
    <x v="1"/>
    <x v="0"/>
    <s v="STAFF-1956"/>
    <n v="1956"/>
    <x v="1"/>
    <x v="1"/>
    <x v="1"/>
    <s v="No"/>
    <s v="Y"/>
    <n v="6"/>
    <n v="-2"/>
    <n v="0"/>
    <n v="31"/>
    <n v="0"/>
    <m/>
    <n v="0"/>
    <n v="1"/>
    <n v="1125"/>
    <n v="1"/>
    <x v="3"/>
    <n v="1"/>
    <n v="4"/>
    <n v="48"/>
    <n v="1"/>
    <n v="2"/>
    <n v="1"/>
    <n v="5003"/>
    <n v="5771"/>
    <n v="1"/>
    <n v="21"/>
    <n v="4"/>
    <n v="2"/>
    <n v="80"/>
    <n v="0"/>
    <n v="10"/>
    <n v="3"/>
    <n v="10"/>
    <n v="8"/>
    <n v="8"/>
    <n v="7"/>
  </r>
  <r>
    <x v="1"/>
    <s v="Travel_Frequently"/>
    <x v="1"/>
    <s v="Current Employees"/>
    <x v="1"/>
    <x v="2"/>
    <s v="STAFF-1644"/>
    <n v="1644"/>
    <x v="1"/>
    <x v="5"/>
    <x v="1"/>
    <s v="No"/>
    <s v="Y"/>
    <n v="3"/>
    <n v="-2"/>
    <n v="0"/>
    <n v="48"/>
    <n v="0"/>
    <m/>
    <n v="0"/>
    <n v="1"/>
    <n v="365"/>
    <n v="4"/>
    <x v="4"/>
    <n v="1"/>
    <n v="3"/>
    <n v="89"/>
    <n v="2"/>
    <n v="4"/>
    <n v="4"/>
    <n v="15202"/>
    <n v="5602"/>
    <n v="2"/>
    <n v="25"/>
    <n v="4"/>
    <n v="2"/>
    <n v="80"/>
    <n v="1"/>
    <n v="23"/>
    <n v="3"/>
    <n v="2"/>
    <n v="2"/>
    <n v="2"/>
    <n v="2"/>
  </r>
  <r>
    <x v="1"/>
    <s v="Travel_Frequently"/>
    <x v="0"/>
    <s v="Current Employees"/>
    <x v="0"/>
    <x v="0"/>
    <s v="STAFF-1849"/>
    <n v="1849"/>
    <x v="1"/>
    <x v="0"/>
    <x v="1"/>
    <s v="No"/>
    <s v="Y"/>
    <n v="5"/>
    <n v="-2"/>
    <n v="0"/>
    <n v="43"/>
    <n v="0"/>
    <m/>
    <n v="0"/>
    <n v="1"/>
    <n v="1422"/>
    <n v="2"/>
    <x v="2"/>
    <n v="1"/>
    <n v="1"/>
    <n v="92"/>
    <n v="3"/>
    <n v="2"/>
    <n v="4"/>
    <n v="5675"/>
    <n v="19246"/>
    <n v="1"/>
    <n v="20"/>
    <n v="4"/>
    <n v="3"/>
    <n v="80"/>
    <n v="1"/>
    <n v="7"/>
    <n v="3"/>
    <n v="7"/>
    <n v="7"/>
    <n v="7"/>
    <n v="7"/>
  </r>
  <r>
    <x v="1"/>
    <s v="Travel_Rarely"/>
    <x v="2"/>
    <s v="Current Employees"/>
    <x v="2"/>
    <x v="0"/>
    <s v="STAFF-1499"/>
    <n v="1499"/>
    <x v="1"/>
    <x v="8"/>
    <x v="2"/>
    <s v="No"/>
    <s v="Y"/>
    <n v="3"/>
    <n v="-2"/>
    <n v="0"/>
    <n v="30"/>
    <n v="0"/>
    <m/>
    <n v="0"/>
    <n v="1"/>
    <n v="330"/>
    <n v="1"/>
    <x v="3"/>
    <n v="1"/>
    <n v="3"/>
    <n v="46"/>
    <n v="3"/>
    <n v="1"/>
    <n v="3"/>
    <n v="2064"/>
    <n v="15428"/>
    <n v="0"/>
    <n v="21"/>
    <n v="4"/>
    <n v="1"/>
    <n v="80"/>
    <n v="1"/>
    <n v="6"/>
    <n v="4"/>
    <n v="5"/>
    <n v="3"/>
    <n v="1"/>
    <n v="3"/>
  </r>
  <r>
    <x v="1"/>
    <s v="Travel_Rarely"/>
    <x v="3"/>
    <s v="Current Employees"/>
    <x v="1"/>
    <x v="2"/>
    <s v="STAFF-1697"/>
    <n v="1697"/>
    <x v="1"/>
    <x v="4"/>
    <x v="2"/>
    <s v="No"/>
    <s v="Y"/>
    <n v="2"/>
    <n v="-2"/>
    <n v="0"/>
    <n v="60"/>
    <n v="0"/>
    <m/>
    <n v="0"/>
    <n v="1"/>
    <n v="370"/>
    <n v="1"/>
    <x v="2"/>
    <n v="1"/>
    <n v="3"/>
    <n v="92"/>
    <n v="1"/>
    <n v="3"/>
    <n v="4"/>
    <n v="10883"/>
    <n v="20467"/>
    <n v="3"/>
    <n v="20"/>
    <n v="4"/>
    <n v="3"/>
    <n v="80"/>
    <n v="1"/>
    <n v="19"/>
    <n v="4"/>
    <n v="1"/>
    <n v="0"/>
    <n v="0"/>
    <n v="0"/>
  </r>
  <r>
    <x v="1"/>
    <s v="Travel_Rarely"/>
    <x v="0"/>
    <s v="Current Employees"/>
    <x v="1"/>
    <x v="0"/>
    <s v="STAFF-1664"/>
    <n v="1664"/>
    <x v="1"/>
    <x v="4"/>
    <x v="2"/>
    <s v="No"/>
    <s v="Y"/>
    <n v="3"/>
    <n v="-2"/>
    <n v="0"/>
    <n v="36"/>
    <n v="0"/>
    <m/>
    <n v="0"/>
    <n v="1"/>
    <n v="1040"/>
    <n v="3"/>
    <x v="0"/>
    <n v="1"/>
    <n v="4"/>
    <n v="79"/>
    <n v="4"/>
    <n v="2"/>
    <n v="1"/>
    <n v="6842"/>
    <n v="26308"/>
    <n v="6"/>
    <n v="20"/>
    <n v="4"/>
    <n v="1"/>
    <n v="80"/>
    <n v="1"/>
    <n v="13"/>
    <n v="3"/>
    <n v="5"/>
    <n v="4"/>
    <n v="0"/>
    <n v="4"/>
  </r>
  <r>
    <x v="1"/>
    <s v="Travel_Rarely"/>
    <x v="0"/>
    <s v="Current Employees"/>
    <x v="1"/>
    <x v="0"/>
    <s v="STAFF-1772"/>
    <n v="1772"/>
    <x v="1"/>
    <x v="2"/>
    <x v="2"/>
    <s v="No"/>
    <s v="Y"/>
    <n v="2"/>
    <n v="-2"/>
    <n v="0"/>
    <n v="41"/>
    <n v="0"/>
    <m/>
    <n v="0"/>
    <n v="1"/>
    <n v="548"/>
    <n v="9"/>
    <x v="2"/>
    <n v="1"/>
    <n v="3"/>
    <n v="94"/>
    <n v="3"/>
    <n v="1"/>
    <n v="1"/>
    <n v="2289"/>
    <n v="20520"/>
    <n v="1"/>
    <n v="20"/>
    <n v="4"/>
    <n v="2"/>
    <n v="80"/>
    <n v="2"/>
    <n v="5"/>
    <n v="3"/>
    <n v="5"/>
    <n v="3"/>
    <n v="0"/>
    <n v="4"/>
  </r>
  <r>
    <x v="1"/>
    <s v="Travel_Rarely"/>
    <x v="0"/>
    <s v="Current Employees"/>
    <x v="1"/>
    <x v="2"/>
    <s v="STAFF-1768"/>
    <n v="1768"/>
    <x v="1"/>
    <x v="2"/>
    <x v="2"/>
    <s v="No"/>
    <s v="Y"/>
    <n v="6"/>
    <n v="-2"/>
    <n v="0"/>
    <n v="42"/>
    <n v="0"/>
    <m/>
    <n v="0"/>
    <n v="1"/>
    <n v="855"/>
    <n v="12"/>
    <x v="3"/>
    <n v="1"/>
    <n v="2"/>
    <n v="57"/>
    <n v="3"/>
    <n v="1"/>
    <n v="2"/>
    <n v="2766"/>
    <n v="8952"/>
    <n v="8"/>
    <n v="22"/>
    <n v="4"/>
    <n v="2"/>
    <n v="80"/>
    <n v="3"/>
    <n v="7"/>
    <n v="2"/>
    <n v="5"/>
    <n v="3"/>
    <n v="0"/>
    <n v="4"/>
  </r>
  <r>
    <x v="1"/>
    <s v="Travel_Rarely"/>
    <x v="0"/>
    <s v="Current Employees"/>
    <x v="1"/>
    <x v="2"/>
    <s v="STAFF-1654"/>
    <n v="1654"/>
    <x v="1"/>
    <x v="3"/>
    <x v="1"/>
    <s v="No"/>
    <s v="Y"/>
    <n v="3"/>
    <n v="-2"/>
    <n v="0"/>
    <n v="39"/>
    <n v="0"/>
    <m/>
    <n v="0"/>
    <n v="1"/>
    <n v="492"/>
    <n v="12"/>
    <x v="3"/>
    <n v="1"/>
    <n v="4"/>
    <n v="66"/>
    <n v="3"/>
    <n v="2"/>
    <n v="2"/>
    <n v="5295"/>
    <n v="7693"/>
    <n v="4"/>
    <n v="21"/>
    <n v="4"/>
    <n v="3"/>
    <n v="80"/>
    <n v="0"/>
    <n v="7"/>
    <n v="3"/>
    <n v="5"/>
    <n v="4"/>
    <n v="1"/>
    <n v="0"/>
  </r>
  <r>
    <x v="1"/>
    <s v="Travel_Rarely"/>
    <x v="0"/>
    <s v="Current Employees"/>
    <x v="1"/>
    <x v="2"/>
    <s v="STAFF-1936"/>
    <n v="1936"/>
    <x v="1"/>
    <x v="3"/>
    <x v="1"/>
    <s v="No"/>
    <s v="Y"/>
    <n v="3"/>
    <n v="-2"/>
    <n v="0"/>
    <n v="39"/>
    <n v="0"/>
    <m/>
    <n v="0"/>
    <n v="1"/>
    <n v="867"/>
    <n v="9"/>
    <x v="0"/>
    <n v="1"/>
    <n v="1"/>
    <n v="87"/>
    <n v="3"/>
    <n v="2"/>
    <n v="1"/>
    <n v="5151"/>
    <n v="12315"/>
    <n v="1"/>
    <n v="25"/>
    <n v="4"/>
    <n v="4"/>
    <n v="80"/>
    <n v="1"/>
    <n v="10"/>
    <n v="3"/>
    <n v="10"/>
    <n v="0"/>
    <n v="7"/>
    <n v="9"/>
  </r>
  <r>
    <x v="1"/>
    <s v="Travel_Rarely"/>
    <x v="3"/>
    <s v="Current Employees"/>
    <x v="1"/>
    <x v="4"/>
    <s v="STAFF-1873"/>
    <n v="1873"/>
    <x v="1"/>
    <x v="1"/>
    <x v="1"/>
    <s v="No"/>
    <s v="Y"/>
    <n v="2"/>
    <n v="-2"/>
    <n v="0"/>
    <n v="55"/>
    <n v="0"/>
    <m/>
    <n v="0"/>
    <n v="1"/>
    <n v="836"/>
    <n v="2"/>
    <x v="2"/>
    <n v="1"/>
    <n v="4"/>
    <n v="98"/>
    <n v="2"/>
    <n v="1"/>
    <n v="4"/>
    <n v="2662"/>
    <n v="7975"/>
    <n v="8"/>
    <n v="20"/>
    <n v="4"/>
    <n v="2"/>
    <n v="80"/>
    <n v="1"/>
    <n v="19"/>
    <n v="4"/>
    <n v="5"/>
    <n v="2"/>
    <n v="0"/>
    <n v="4"/>
  </r>
  <r>
    <x v="1"/>
    <s v="Travel_Rarely"/>
    <x v="3"/>
    <s v="Current Employees"/>
    <x v="1"/>
    <x v="0"/>
    <s v="STAFF-1483"/>
    <n v="1483"/>
    <x v="1"/>
    <x v="1"/>
    <x v="1"/>
    <s v="No"/>
    <s v="Y"/>
    <n v="2"/>
    <n v="-2"/>
    <n v="0"/>
    <n v="57"/>
    <n v="0"/>
    <m/>
    <n v="0"/>
    <n v="1"/>
    <n v="405"/>
    <n v="1"/>
    <x v="0"/>
    <n v="1"/>
    <n v="2"/>
    <n v="93"/>
    <n v="4"/>
    <n v="2"/>
    <n v="3"/>
    <n v="4900"/>
    <n v="2721"/>
    <n v="0"/>
    <n v="24"/>
    <n v="4"/>
    <n v="1"/>
    <n v="80"/>
    <n v="1"/>
    <n v="13"/>
    <n v="2"/>
    <n v="12"/>
    <n v="9"/>
    <n v="2"/>
    <n v="8"/>
  </r>
  <r>
    <x v="1"/>
    <s v="Travel_Rarely"/>
    <x v="0"/>
    <s v="Current Employees"/>
    <x v="1"/>
    <x v="0"/>
    <s v="STAFF-1666"/>
    <n v="1666"/>
    <x v="1"/>
    <x v="7"/>
    <x v="1"/>
    <s v="No"/>
    <s v="Y"/>
    <n v="3"/>
    <n v="-2"/>
    <n v="0"/>
    <n v="43"/>
    <n v="0"/>
    <m/>
    <n v="0"/>
    <n v="1"/>
    <n v="1291"/>
    <n v="15"/>
    <x v="0"/>
    <n v="1"/>
    <n v="3"/>
    <n v="65"/>
    <n v="2"/>
    <n v="4"/>
    <n v="3"/>
    <n v="17603"/>
    <n v="3525"/>
    <n v="1"/>
    <n v="24"/>
    <n v="4"/>
    <n v="1"/>
    <n v="80"/>
    <n v="1"/>
    <n v="14"/>
    <n v="3"/>
    <n v="14"/>
    <n v="10"/>
    <n v="6"/>
    <n v="11"/>
  </r>
  <r>
    <x v="1"/>
    <s v="Travel_Rarely"/>
    <x v="0"/>
    <s v="Current Employees"/>
    <x v="1"/>
    <x v="0"/>
    <s v="STAFF-1999"/>
    <n v="1999"/>
    <x v="1"/>
    <x v="1"/>
    <x v="1"/>
    <s v="No"/>
    <s v="Y"/>
    <n v="3"/>
    <n v="-2"/>
    <n v="0"/>
    <n v="41"/>
    <n v="0"/>
    <m/>
    <n v="0"/>
    <n v="1"/>
    <n v="642"/>
    <n v="1"/>
    <x v="3"/>
    <n v="1"/>
    <n v="4"/>
    <n v="76"/>
    <n v="3"/>
    <n v="1"/>
    <n v="4"/>
    <n v="2782"/>
    <n v="21412"/>
    <n v="3"/>
    <n v="22"/>
    <n v="4"/>
    <n v="1"/>
    <n v="80"/>
    <n v="1"/>
    <n v="12"/>
    <n v="3"/>
    <n v="5"/>
    <n v="3"/>
    <n v="1"/>
    <n v="0"/>
  </r>
  <r>
    <x v="1"/>
    <s v="Travel_Rarely"/>
    <x v="1"/>
    <s v="Current Employees"/>
    <x v="1"/>
    <x v="4"/>
    <s v="STAFF-1546"/>
    <n v="1546"/>
    <x v="1"/>
    <x v="1"/>
    <x v="1"/>
    <s v="No"/>
    <s v="Y"/>
    <n v="3"/>
    <n v="-2"/>
    <n v="0"/>
    <n v="45"/>
    <n v="0"/>
    <m/>
    <n v="0"/>
    <n v="1"/>
    <n v="950"/>
    <n v="28"/>
    <x v="3"/>
    <n v="1"/>
    <n v="4"/>
    <n v="97"/>
    <n v="3"/>
    <n v="1"/>
    <n v="4"/>
    <n v="2132"/>
    <n v="4585"/>
    <n v="4"/>
    <n v="20"/>
    <n v="4"/>
    <n v="4"/>
    <n v="80"/>
    <n v="1"/>
    <n v="8"/>
    <n v="3"/>
    <n v="5"/>
    <n v="4"/>
    <n v="0"/>
    <n v="3"/>
  </r>
  <r>
    <x v="1"/>
    <s v="Travel_Rarely"/>
    <x v="1"/>
    <s v="Current Employees"/>
    <x v="1"/>
    <x v="2"/>
    <s v="STAFF-1993"/>
    <n v="1993"/>
    <x v="1"/>
    <x v="4"/>
    <x v="0"/>
    <s v="No"/>
    <s v="Y"/>
    <n v="3"/>
    <n v="-2"/>
    <n v="0"/>
    <n v="47"/>
    <n v="0"/>
    <m/>
    <n v="0"/>
    <n v="1"/>
    <n v="1180"/>
    <n v="25"/>
    <x v="3"/>
    <n v="1"/>
    <n v="1"/>
    <n v="84"/>
    <n v="3"/>
    <n v="3"/>
    <n v="3"/>
    <n v="8633"/>
    <n v="13084"/>
    <n v="2"/>
    <n v="23"/>
    <n v="4"/>
    <n v="2"/>
    <n v="80"/>
    <n v="0"/>
    <n v="25"/>
    <n v="3"/>
    <n v="17"/>
    <n v="14"/>
    <n v="12"/>
    <n v="11"/>
  </r>
  <r>
    <x v="1"/>
    <s v="Travel_Rarely"/>
    <x v="0"/>
    <s v="Current Employees"/>
    <x v="1"/>
    <x v="2"/>
    <s v="STAFF-1800"/>
    <n v="1800"/>
    <x v="1"/>
    <x v="7"/>
    <x v="0"/>
    <s v="No"/>
    <s v="Y"/>
    <n v="3"/>
    <n v="-2"/>
    <n v="0"/>
    <n v="39"/>
    <n v="0"/>
    <m/>
    <n v="0"/>
    <n v="1"/>
    <n v="1253"/>
    <n v="10"/>
    <x v="1"/>
    <n v="1"/>
    <n v="3"/>
    <n v="65"/>
    <n v="3"/>
    <n v="3"/>
    <n v="3"/>
    <n v="13464"/>
    <n v="7914"/>
    <n v="7"/>
    <n v="21"/>
    <n v="4"/>
    <n v="3"/>
    <n v="80"/>
    <n v="0"/>
    <n v="9"/>
    <n v="3"/>
    <n v="4"/>
    <n v="3"/>
    <n v="2"/>
    <n v="2"/>
  </r>
  <r>
    <x v="1"/>
    <s v="Travel_Rarely"/>
    <x v="2"/>
    <s v="Current Employees"/>
    <x v="1"/>
    <x v="2"/>
    <s v="STAFF-1516"/>
    <n v="1516"/>
    <x v="1"/>
    <x v="5"/>
    <x v="0"/>
    <s v="No"/>
    <s v="Y"/>
    <n v="5"/>
    <n v="-2"/>
    <n v="0"/>
    <n v="32"/>
    <n v="0"/>
    <m/>
    <n v="0"/>
    <n v="1"/>
    <n v="495"/>
    <n v="10"/>
    <x v="3"/>
    <n v="1"/>
    <n v="3"/>
    <n v="64"/>
    <n v="3"/>
    <n v="3"/>
    <n v="4"/>
    <n v="11244"/>
    <n v="21072"/>
    <n v="2"/>
    <n v="25"/>
    <n v="4"/>
    <n v="2"/>
    <n v="80"/>
    <n v="0"/>
    <n v="10"/>
    <n v="4"/>
    <n v="5"/>
    <n v="2"/>
    <n v="0"/>
    <n v="0"/>
  </r>
  <r>
    <x v="1"/>
    <s v="Travel_Rarely"/>
    <x v="2"/>
    <s v="Current Employees"/>
    <x v="1"/>
    <x v="0"/>
    <s v="STAFF-1966"/>
    <n v="1966"/>
    <x v="1"/>
    <x v="3"/>
    <x v="0"/>
    <s v="No"/>
    <s v="Y"/>
    <n v="1"/>
    <n v="-2"/>
    <n v="0"/>
    <n v="32"/>
    <n v="0"/>
    <m/>
    <n v="0"/>
    <n v="1"/>
    <n v="1373"/>
    <n v="5"/>
    <x v="2"/>
    <n v="1"/>
    <n v="4"/>
    <n v="56"/>
    <n v="2"/>
    <n v="2"/>
    <n v="4"/>
    <n v="9679"/>
    <n v="10138"/>
    <n v="8"/>
    <n v="24"/>
    <n v="4"/>
    <n v="2"/>
    <n v="80"/>
    <n v="0"/>
    <n v="8"/>
    <n v="3"/>
    <n v="1"/>
    <n v="0"/>
    <n v="0"/>
    <n v="0"/>
  </r>
  <r>
    <x v="1"/>
    <s v="Travel_Rarely"/>
    <x v="0"/>
    <s v="Current Employees"/>
    <x v="1"/>
    <x v="1"/>
    <s v="STAFF-1595"/>
    <n v="1595"/>
    <x v="1"/>
    <x v="5"/>
    <x v="0"/>
    <s v="No"/>
    <s v="Y"/>
    <n v="2"/>
    <n v="-2"/>
    <n v="0"/>
    <n v="42"/>
    <n v="0"/>
    <m/>
    <n v="0"/>
    <n v="1"/>
    <n v="1059"/>
    <n v="9"/>
    <x v="0"/>
    <n v="1"/>
    <n v="4"/>
    <n v="93"/>
    <n v="2"/>
    <n v="5"/>
    <n v="4"/>
    <n v="19613"/>
    <n v="26362"/>
    <n v="8"/>
    <n v="22"/>
    <n v="4"/>
    <n v="4"/>
    <n v="80"/>
    <n v="0"/>
    <n v="24"/>
    <n v="3"/>
    <n v="1"/>
    <n v="0"/>
    <n v="0"/>
    <n v="1"/>
  </r>
  <r>
    <x v="1"/>
    <s v="Travel_Rarely"/>
    <x v="3"/>
    <s v="Current Employees"/>
    <x v="0"/>
    <x v="3"/>
    <s v="STAFF-1578"/>
    <n v="1578"/>
    <x v="1"/>
    <x v="5"/>
    <x v="1"/>
    <s v="No"/>
    <s v="Y"/>
    <n v="3"/>
    <n v="-2"/>
    <n v="0"/>
    <n v="55"/>
    <n v="0"/>
    <m/>
    <n v="0"/>
    <n v="1"/>
    <n v="685"/>
    <n v="26"/>
    <x v="4"/>
    <n v="1"/>
    <n v="3"/>
    <n v="60"/>
    <n v="2"/>
    <n v="5"/>
    <n v="1"/>
    <n v="19586"/>
    <n v="23037"/>
    <n v="1"/>
    <n v="21"/>
    <n v="4"/>
    <n v="3"/>
    <n v="80"/>
    <n v="1"/>
    <n v="36"/>
    <n v="3"/>
    <n v="36"/>
    <n v="6"/>
    <n v="2"/>
    <n v="13"/>
  </r>
  <r>
    <x v="1"/>
    <s v="Travel_Rarely"/>
    <x v="2"/>
    <s v="Current Employees"/>
    <x v="0"/>
    <x v="4"/>
    <s v="STAFF-1823"/>
    <n v="1823"/>
    <x v="1"/>
    <x v="0"/>
    <x v="1"/>
    <s v="No"/>
    <s v="Y"/>
    <n v="5"/>
    <n v="-2"/>
    <n v="0"/>
    <n v="34"/>
    <n v="0"/>
    <m/>
    <n v="0"/>
    <n v="1"/>
    <n v="810"/>
    <n v="8"/>
    <x v="0"/>
    <n v="1"/>
    <n v="4"/>
    <n v="92"/>
    <n v="4"/>
    <n v="2"/>
    <n v="4"/>
    <n v="6799"/>
    <n v="22128"/>
    <n v="1"/>
    <n v="21"/>
    <n v="4"/>
    <n v="3"/>
    <n v="80"/>
    <n v="2"/>
    <n v="10"/>
    <n v="3"/>
    <n v="10"/>
    <n v="8"/>
    <n v="4"/>
    <n v="8"/>
  </r>
  <r>
    <x v="1"/>
    <s v="Travel_Rarely"/>
    <x v="2"/>
    <s v="Current Employees"/>
    <x v="0"/>
    <x v="3"/>
    <s v="STAFF-1950"/>
    <n v="1950"/>
    <x v="1"/>
    <x v="0"/>
    <x v="0"/>
    <s v="No"/>
    <s v="Y"/>
    <n v="3"/>
    <n v="-2"/>
    <n v="0"/>
    <n v="34"/>
    <n v="0"/>
    <m/>
    <n v="0"/>
    <n v="1"/>
    <n v="937"/>
    <n v="1"/>
    <x v="3"/>
    <n v="1"/>
    <n v="1"/>
    <n v="32"/>
    <n v="3"/>
    <n v="3"/>
    <n v="1"/>
    <n v="9888"/>
    <n v="6770"/>
    <n v="1"/>
    <n v="21"/>
    <n v="4"/>
    <n v="1"/>
    <n v="80"/>
    <n v="0"/>
    <n v="14"/>
    <n v="2"/>
    <n v="14"/>
    <n v="8"/>
    <n v="2"/>
    <n v="1"/>
  </r>
  <r>
    <x v="1"/>
    <s v="Non-Travel"/>
    <x v="1"/>
    <s v="Current Employees"/>
    <x v="1"/>
    <x v="2"/>
    <s v="STAFF-1775"/>
    <n v="1775"/>
    <x v="0"/>
    <x v="3"/>
    <x v="1"/>
    <s v="Yes"/>
    <s v="Y"/>
    <n v="2"/>
    <n v="-2"/>
    <n v="0"/>
    <n v="53"/>
    <n v="0"/>
    <m/>
    <n v="0"/>
    <n v="1"/>
    <n v="661"/>
    <n v="1"/>
    <x v="2"/>
    <n v="1"/>
    <n v="1"/>
    <n v="60"/>
    <n v="2"/>
    <n v="4"/>
    <n v="3"/>
    <n v="12965"/>
    <n v="22308"/>
    <n v="4"/>
    <n v="20"/>
    <n v="4"/>
    <n v="4"/>
    <n v="80"/>
    <n v="3"/>
    <n v="27"/>
    <n v="2"/>
    <n v="3"/>
    <n v="2"/>
    <n v="0"/>
    <n v="2"/>
  </r>
  <r>
    <x v="1"/>
    <s v="Non-Travel"/>
    <x v="2"/>
    <s v="Current Employees"/>
    <x v="0"/>
    <x v="0"/>
    <s v="STAFF-1681"/>
    <n v="1681"/>
    <x v="0"/>
    <x v="0"/>
    <x v="2"/>
    <s v="Yes"/>
    <s v="Y"/>
    <n v="2"/>
    <n v="-2"/>
    <n v="0"/>
    <n v="33"/>
    <n v="0"/>
    <m/>
    <n v="0"/>
    <n v="1"/>
    <n v="530"/>
    <n v="16"/>
    <x v="3"/>
    <n v="1"/>
    <n v="3"/>
    <n v="36"/>
    <n v="3"/>
    <n v="2"/>
    <n v="4"/>
    <n v="5368"/>
    <n v="16130"/>
    <n v="1"/>
    <n v="25"/>
    <n v="4"/>
    <n v="3"/>
    <n v="80"/>
    <n v="1"/>
    <n v="7"/>
    <n v="3"/>
    <n v="6"/>
    <n v="5"/>
    <n v="1"/>
    <n v="2"/>
  </r>
  <r>
    <x v="1"/>
    <s v="Travel_Rarely"/>
    <x v="0"/>
    <s v="Current Employees"/>
    <x v="1"/>
    <x v="0"/>
    <s v="STAFF-2017"/>
    <n v="2017"/>
    <x v="0"/>
    <x v="7"/>
    <x v="1"/>
    <s v="Yes"/>
    <s v="Y"/>
    <n v="2"/>
    <n v="-2"/>
    <n v="0"/>
    <n v="37"/>
    <n v="0"/>
    <m/>
    <n v="0"/>
    <n v="1"/>
    <n v="161"/>
    <n v="10"/>
    <x v="3"/>
    <n v="1"/>
    <n v="3"/>
    <n v="42"/>
    <n v="4"/>
    <n v="3"/>
    <n v="4"/>
    <n v="13744"/>
    <n v="15471"/>
    <n v="1"/>
    <n v="25"/>
    <n v="4"/>
    <n v="1"/>
    <n v="80"/>
    <n v="1"/>
    <n v="16"/>
    <n v="3"/>
    <n v="16"/>
    <n v="11"/>
    <n v="6"/>
    <n v="8"/>
  </r>
  <r>
    <x v="1"/>
    <s v="Travel_Rarely"/>
    <x v="3"/>
    <s v="Current Employees"/>
    <x v="1"/>
    <x v="2"/>
    <s v="STAFF-1423"/>
    <n v="1423"/>
    <x v="0"/>
    <x v="7"/>
    <x v="1"/>
    <s v="Yes"/>
    <s v="Y"/>
    <n v="3"/>
    <n v="-2"/>
    <n v="0"/>
    <n v="58"/>
    <n v="0"/>
    <m/>
    <n v="0"/>
    <n v="1"/>
    <n v="1055"/>
    <n v="1"/>
    <x v="3"/>
    <n v="1"/>
    <n v="4"/>
    <n v="76"/>
    <n v="3"/>
    <n v="5"/>
    <n v="1"/>
    <n v="19701"/>
    <n v="22456"/>
    <n v="3"/>
    <n v="21"/>
    <n v="4"/>
    <n v="3"/>
    <n v="80"/>
    <n v="1"/>
    <n v="32"/>
    <n v="3"/>
    <n v="9"/>
    <n v="8"/>
    <n v="1"/>
    <n v="5"/>
  </r>
  <r>
    <x v="1"/>
    <s v="Travel_Rarely"/>
    <x v="0"/>
    <s v="Current Employees"/>
    <x v="1"/>
    <x v="1"/>
    <s v="STAFF-1847"/>
    <n v="1847"/>
    <x v="0"/>
    <x v="1"/>
    <x v="1"/>
    <s v="Yes"/>
    <s v="Y"/>
    <n v="2"/>
    <n v="-2"/>
    <n v="0"/>
    <n v="36"/>
    <n v="0"/>
    <m/>
    <n v="0"/>
    <n v="1"/>
    <n v="430"/>
    <n v="2"/>
    <x v="2"/>
    <n v="1"/>
    <n v="4"/>
    <n v="73"/>
    <n v="3"/>
    <n v="2"/>
    <n v="2"/>
    <n v="6962"/>
    <n v="19573"/>
    <n v="4"/>
    <n v="22"/>
    <n v="4"/>
    <n v="4"/>
    <n v="80"/>
    <n v="1"/>
    <n v="15"/>
    <n v="3"/>
    <n v="1"/>
    <n v="0"/>
    <n v="0"/>
    <n v="0"/>
  </r>
  <r>
    <x v="1"/>
    <s v="Travel_Rarely"/>
    <x v="2"/>
    <s v="Current Employees"/>
    <x v="0"/>
    <x v="1"/>
    <s v="STAFF-2018"/>
    <n v="2018"/>
    <x v="0"/>
    <x v="0"/>
    <x v="2"/>
    <s v="Yes"/>
    <s v="Y"/>
    <n v="3"/>
    <n v="-2"/>
    <n v="0"/>
    <n v="25"/>
    <n v="0"/>
    <m/>
    <n v="0"/>
    <n v="1"/>
    <n v="1382"/>
    <n v="8"/>
    <x v="0"/>
    <n v="1"/>
    <n v="1"/>
    <n v="85"/>
    <n v="3"/>
    <n v="2"/>
    <n v="3"/>
    <n v="4907"/>
    <n v="13684"/>
    <n v="0"/>
    <n v="22"/>
    <n v="4"/>
    <n v="2"/>
    <n v="80"/>
    <n v="1"/>
    <n v="6"/>
    <n v="2"/>
    <n v="5"/>
    <n v="3"/>
    <n v="0"/>
    <n v="4"/>
  </r>
  <r>
    <x v="1"/>
    <s v="Travel_Rarely"/>
    <x v="0"/>
    <s v="Current Employees"/>
    <x v="0"/>
    <x v="3"/>
    <s v="STAFF-1835"/>
    <n v="1835"/>
    <x v="0"/>
    <x v="6"/>
    <x v="1"/>
    <s v="Yes"/>
    <s v="Y"/>
    <n v="4"/>
    <n v="-2"/>
    <n v="0"/>
    <n v="38"/>
    <n v="0"/>
    <m/>
    <n v="0"/>
    <n v="1"/>
    <n v="723"/>
    <n v="2"/>
    <x v="2"/>
    <n v="1"/>
    <n v="2"/>
    <n v="77"/>
    <n v="1"/>
    <n v="2"/>
    <n v="1"/>
    <n v="5405"/>
    <n v="4244"/>
    <n v="2"/>
    <n v="20"/>
    <n v="4"/>
    <n v="1"/>
    <n v="80"/>
    <n v="2"/>
    <n v="20"/>
    <n v="2"/>
    <n v="4"/>
    <n v="2"/>
    <n v="0"/>
    <n v="3"/>
  </r>
  <r>
    <x v="1"/>
    <s v="Travel_Rarely"/>
    <x v="0"/>
    <s v="Current Employees"/>
    <x v="2"/>
    <x v="2"/>
    <s v="STAFF-1550"/>
    <n v="1550"/>
    <x v="1"/>
    <x v="5"/>
    <x v="0"/>
    <s v="Yes"/>
    <s v="Y"/>
    <n v="2"/>
    <n v="-2"/>
    <n v="0"/>
    <n v="40"/>
    <n v="0"/>
    <m/>
    <n v="0"/>
    <n v="1"/>
    <n v="898"/>
    <n v="6"/>
    <x v="0"/>
    <n v="1"/>
    <n v="3"/>
    <n v="38"/>
    <n v="3"/>
    <n v="4"/>
    <n v="4"/>
    <n v="16437"/>
    <n v="17381"/>
    <n v="1"/>
    <n v="21"/>
    <n v="4"/>
    <n v="4"/>
    <n v="80"/>
    <n v="0"/>
    <n v="21"/>
    <n v="3"/>
    <n v="21"/>
    <n v="7"/>
    <n v="7"/>
    <n v="7"/>
  </r>
  <r>
    <x v="1"/>
    <s v="Travel_Rarely"/>
    <x v="2"/>
    <s v="Current Employees"/>
    <x v="1"/>
    <x v="0"/>
    <s v="STAFF-2064"/>
    <n v="2064"/>
    <x v="1"/>
    <x v="3"/>
    <x v="1"/>
    <s v="Yes"/>
    <s v="Y"/>
    <n v="0"/>
    <n v="-2"/>
    <n v="0"/>
    <n v="27"/>
    <n v="0"/>
    <m/>
    <n v="0"/>
    <n v="1"/>
    <n v="155"/>
    <n v="4"/>
    <x v="3"/>
    <n v="1"/>
    <n v="2"/>
    <n v="87"/>
    <n v="4"/>
    <n v="2"/>
    <n v="2"/>
    <n v="6142"/>
    <n v="5174"/>
    <n v="1"/>
    <n v="20"/>
    <n v="4"/>
    <n v="2"/>
    <n v="80"/>
    <n v="1"/>
    <n v="6"/>
    <n v="3"/>
    <n v="6"/>
    <n v="2"/>
    <n v="0"/>
    <n v="3"/>
  </r>
  <r>
    <x v="1"/>
    <s v="Travel_Rarely"/>
    <x v="0"/>
    <s v="Current Employees"/>
    <x v="1"/>
    <x v="2"/>
    <s v="STAFF-1885"/>
    <n v="1885"/>
    <x v="1"/>
    <x v="1"/>
    <x v="1"/>
    <s v="Yes"/>
    <s v="Y"/>
    <n v="2"/>
    <n v="-2"/>
    <n v="0"/>
    <n v="37"/>
    <n v="0"/>
    <m/>
    <n v="0"/>
    <n v="1"/>
    <n v="783"/>
    <n v="7"/>
    <x v="2"/>
    <n v="1"/>
    <n v="4"/>
    <n v="78"/>
    <n v="3"/>
    <n v="2"/>
    <n v="1"/>
    <n v="4284"/>
    <n v="13588"/>
    <n v="5"/>
    <n v="22"/>
    <n v="4"/>
    <n v="3"/>
    <n v="80"/>
    <n v="1"/>
    <n v="16"/>
    <n v="3"/>
    <n v="5"/>
    <n v="3"/>
    <n v="0"/>
    <n v="4"/>
  </r>
  <r>
    <x v="1"/>
    <s v="Travel_Rarely"/>
    <x v="2"/>
    <s v="Current Employees"/>
    <x v="0"/>
    <x v="4"/>
    <s v="STAFF-1541"/>
    <n v="1541"/>
    <x v="1"/>
    <x v="6"/>
    <x v="1"/>
    <s v="Yes"/>
    <s v="Y"/>
    <n v="4"/>
    <n v="-2"/>
    <n v="0"/>
    <n v="34"/>
    <n v="0"/>
    <m/>
    <n v="0"/>
    <n v="1"/>
    <n v="1440"/>
    <n v="7"/>
    <x v="0"/>
    <n v="1"/>
    <n v="4"/>
    <n v="55"/>
    <n v="3"/>
    <n v="1"/>
    <n v="4"/>
    <n v="2308"/>
    <n v="4944"/>
    <n v="0"/>
    <n v="25"/>
    <n v="4"/>
    <n v="2"/>
    <n v="80"/>
    <n v="1"/>
    <n v="12"/>
    <n v="3"/>
    <n v="11"/>
    <n v="10"/>
    <n v="5"/>
    <n v="7"/>
  </r>
  <r>
    <x v="1"/>
    <s v="Travel_Rarely"/>
    <x v="0"/>
    <s v="Current Employees"/>
    <x v="0"/>
    <x v="0"/>
    <s v="STAFF-1556"/>
    <n v="1556"/>
    <x v="1"/>
    <x v="6"/>
    <x v="0"/>
    <s v="Yes"/>
    <s v="Y"/>
    <n v="3"/>
    <n v="-2"/>
    <n v="0"/>
    <n v="36"/>
    <n v="0"/>
    <m/>
    <n v="0"/>
    <n v="1"/>
    <n v="1157"/>
    <n v="2"/>
    <x v="2"/>
    <n v="1"/>
    <n v="3"/>
    <n v="70"/>
    <n v="3"/>
    <n v="1"/>
    <n v="4"/>
    <n v="2644"/>
    <n v="17001"/>
    <n v="3"/>
    <n v="21"/>
    <n v="4"/>
    <n v="4"/>
    <n v="80"/>
    <n v="0"/>
    <n v="7"/>
    <n v="2"/>
    <n v="3"/>
    <n v="2"/>
    <n v="1"/>
    <n v="2"/>
  </r>
  <r>
    <x v="0"/>
    <s v="Travel_Frequently"/>
    <x v="2"/>
    <s v="Ex-Employees"/>
    <x v="2"/>
    <x v="5"/>
    <s v="STAFF-1747"/>
    <n v="1747"/>
    <x v="0"/>
    <x v="8"/>
    <x v="2"/>
    <s v="No"/>
    <s v="Y"/>
    <n v="0"/>
    <n v="-2"/>
    <n v="0"/>
    <n v="30"/>
    <n v="1"/>
    <n v="1"/>
    <n v="1"/>
    <n v="0"/>
    <n v="600"/>
    <n v="8"/>
    <x v="3"/>
    <n v="1"/>
    <n v="3"/>
    <n v="66"/>
    <n v="2"/>
    <n v="1"/>
    <n v="4"/>
    <n v="2180"/>
    <n v="9732"/>
    <n v="6"/>
    <n v="11"/>
    <n v="3"/>
    <n v="3"/>
    <n v="80"/>
    <n v="1"/>
    <n v="6"/>
    <n v="2"/>
    <n v="4"/>
    <n v="2"/>
    <n v="1"/>
    <n v="2"/>
  </r>
  <r>
    <x v="0"/>
    <s v="Travel_Frequently"/>
    <x v="2"/>
    <s v="Ex-Employees"/>
    <x v="2"/>
    <x v="5"/>
    <s v="STAFF-1944"/>
    <n v="1944"/>
    <x v="0"/>
    <x v="8"/>
    <x v="1"/>
    <s v="No"/>
    <s v="Y"/>
    <n v="2"/>
    <n v="-2"/>
    <n v="0"/>
    <n v="27"/>
    <n v="1"/>
    <n v="1"/>
    <n v="1"/>
    <n v="0"/>
    <n v="1337"/>
    <n v="22"/>
    <x v="3"/>
    <n v="1"/>
    <n v="1"/>
    <n v="58"/>
    <n v="2"/>
    <n v="1"/>
    <n v="2"/>
    <n v="2863"/>
    <n v="19555"/>
    <n v="1"/>
    <n v="12"/>
    <n v="3"/>
    <n v="1"/>
    <n v="80"/>
    <n v="0"/>
    <n v="1"/>
    <n v="3"/>
    <n v="1"/>
    <n v="0"/>
    <n v="0"/>
    <n v="0"/>
  </r>
  <r>
    <x v="0"/>
    <s v="Travel_Frequently"/>
    <x v="2"/>
    <s v="Ex-Employees"/>
    <x v="1"/>
    <x v="0"/>
    <s v="STAFF-1459"/>
    <n v="1459"/>
    <x v="0"/>
    <x v="3"/>
    <x v="0"/>
    <s v="No"/>
    <s v="Y"/>
    <n v="2"/>
    <n v="-2"/>
    <n v="0"/>
    <n v="31"/>
    <n v="1"/>
    <n v="1"/>
    <n v="1"/>
    <n v="0"/>
    <n v="1445"/>
    <n v="1"/>
    <x v="4"/>
    <n v="1"/>
    <n v="3"/>
    <n v="100"/>
    <n v="4"/>
    <n v="3"/>
    <n v="2"/>
    <n v="7446"/>
    <n v="8931"/>
    <n v="1"/>
    <n v="11"/>
    <n v="3"/>
    <n v="1"/>
    <n v="80"/>
    <n v="0"/>
    <n v="10"/>
    <n v="3"/>
    <n v="10"/>
    <n v="8"/>
    <n v="4"/>
    <n v="7"/>
  </r>
  <r>
    <x v="0"/>
    <s v="Travel_Frequently"/>
    <x v="2"/>
    <s v="Ex-Employees"/>
    <x v="1"/>
    <x v="0"/>
    <s v="STAFF-1537"/>
    <n v="1537"/>
    <x v="0"/>
    <x v="1"/>
    <x v="0"/>
    <s v="No"/>
    <s v="Y"/>
    <n v="2"/>
    <n v="-2"/>
    <n v="0"/>
    <n v="31"/>
    <n v="1"/>
    <n v="1"/>
    <n v="1"/>
    <n v="0"/>
    <n v="561"/>
    <n v="3"/>
    <x v="3"/>
    <n v="1"/>
    <n v="4"/>
    <n v="33"/>
    <n v="3"/>
    <n v="1"/>
    <n v="3"/>
    <n v="4084"/>
    <n v="4156"/>
    <n v="1"/>
    <n v="12"/>
    <n v="3"/>
    <n v="1"/>
    <n v="80"/>
    <n v="0"/>
    <n v="7"/>
    <n v="1"/>
    <n v="7"/>
    <n v="2"/>
    <n v="7"/>
    <n v="7"/>
  </r>
  <r>
    <x v="0"/>
    <s v="Travel_Frequently"/>
    <x v="2"/>
    <s v="Ex-Employees"/>
    <x v="0"/>
    <x v="4"/>
    <s v="STAFF-1487"/>
    <n v="1487"/>
    <x v="0"/>
    <x v="0"/>
    <x v="0"/>
    <s v="No"/>
    <s v="Y"/>
    <n v="4"/>
    <n v="-2"/>
    <n v="0"/>
    <n v="29"/>
    <n v="1"/>
    <n v="1"/>
    <n v="1"/>
    <n v="0"/>
    <n v="115"/>
    <n v="13"/>
    <x v="3"/>
    <n v="1"/>
    <n v="4"/>
    <n v="51"/>
    <n v="3"/>
    <n v="2"/>
    <n v="4"/>
    <n v="5765"/>
    <n v="17485"/>
    <n v="5"/>
    <n v="11"/>
    <n v="3"/>
    <n v="1"/>
    <n v="80"/>
    <n v="0"/>
    <n v="7"/>
    <n v="1"/>
    <n v="5"/>
    <n v="3"/>
    <n v="0"/>
    <n v="0"/>
  </r>
  <r>
    <x v="0"/>
    <s v="Travel_Frequently"/>
    <x v="2"/>
    <s v="Ex-Employees"/>
    <x v="0"/>
    <x v="0"/>
    <s v="STAFF-1427"/>
    <n v="1427"/>
    <x v="0"/>
    <x v="6"/>
    <x v="0"/>
    <s v="No"/>
    <s v="Y"/>
    <n v="3"/>
    <n v="-2"/>
    <n v="0"/>
    <n v="31"/>
    <n v="1"/>
    <n v="1"/>
    <n v="1"/>
    <n v="0"/>
    <n v="667"/>
    <n v="1"/>
    <x v="2"/>
    <n v="1"/>
    <n v="2"/>
    <n v="50"/>
    <n v="1"/>
    <n v="1"/>
    <n v="3"/>
    <n v="1359"/>
    <n v="16154"/>
    <n v="1"/>
    <n v="12"/>
    <n v="3"/>
    <n v="2"/>
    <n v="80"/>
    <n v="0"/>
    <n v="1"/>
    <n v="3"/>
    <n v="1"/>
    <n v="0"/>
    <n v="0"/>
    <n v="0"/>
  </r>
  <r>
    <x v="0"/>
    <s v="Travel_Rarely"/>
    <x v="2"/>
    <s v="Ex-Employees"/>
    <x v="2"/>
    <x v="4"/>
    <s v="STAFF-1467"/>
    <n v="1467"/>
    <x v="0"/>
    <x v="8"/>
    <x v="1"/>
    <s v="No"/>
    <s v="Y"/>
    <n v="0"/>
    <n v="-2"/>
    <n v="0"/>
    <n v="34"/>
    <n v="1"/>
    <n v="1"/>
    <n v="1"/>
    <n v="0"/>
    <n v="1107"/>
    <n v="9"/>
    <x v="2"/>
    <n v="1"/>
    <n v="4"/>
    <n v="52"/>
    <n v="3"/>
    <n v="1"/>
    <n v="4"/>
    <n v="2742"/>
    <n v="3072"/>
    <n v="1"/>
    <n v="15"/>
    <n v="3"/>
    <n v="4"/>
    <n v="80"/>
    <n v="0"/>
    <n v="2"/>
    <n v="3"/>
    <n v="2"/>
    <n v="2"/>
    <n v="2"/>
    <n v="2"/>
  </r>
  <r>
    <x v="0"/>
    <s v="Travel_Rarely"/>
    <x v="1"/>
    <s v="Ex-Employees"/>
    <x v="1"/>
    <x v="4"/>
    <s v="STAFF-1572"/>
    <n v="1572"/>
    <x v="0"/>
    <x v="3"/>
    <x v="1"/>
    <s v="No"/>
    <s v="Y"/>
    <n v="4"/>
    <n v="-2"/>
    <n v="0"/>
    <n v="53"/>
    <n v="1"/>
    <n v="1"/>
    <n v="1"/>
    <n v="0"/>
    <n v="607"/>
    <n v="2"/>
    <x v="4"/>
    <n v="1"/>
    <n v="3"/>
    <n v="78"/>
    <n v="2"/>
    <n v="3"/>
    <n v="4"/>
    <n v="10169"/>
    <n v="14618"/>
    <n v="0"/>
    <n v="16"/>
    <n v="3"/>
    <n v="2"/>
    <n v="80"/>
    <n v="1"/>
    <n v="34"/>
    <n v="3"/>
    <n v="33"/>
    <n v="7"/>
    <n v="1"/>
    <n v="9"/>
  </r>
  <r>
    <x v="0"/>
    <s v="Travel_Rarely"/>
    <x v="2"/>
    <s v="Ex-Employees"/>
    <x v="1"/>
    <x v="0"/>
    <s v="STAFF-1433"/>
    <n v="1433"/>
    <x v="0"/>
    <x v="1"/>
    <x v="0"/>
    <s v="No"/>
    <s v="Y"/>
    <n v="3"/>
    <n v="-2"/>
    <n v="0"/>
    <n v="31"/>
    <n v="1"/>
    <n v="1"/>
    <n v="1"/>
    <n v="0"/>
    <n v="202"/>
    <n v="8"/>
    <x v="3"/>
    <n v="1"/>
    <n v="1"/>
    <n v="34"/>
    <n v="2"/>
    <n v="1"/>
    <n v="2"/>
    <n v="1261"/>
    <n v="22262"/>
    <n v="1"/>
    <n v="12"/>
    <n v="3"/>
    <n v="3"/>
    <n v="80"/>
    <n v="0"/>
    <n v="1"/>
    <n v="4"/>
    <n v="1"/>
    <n v="0"/>
    <n v="0"/>
    <n v="0"/>
  </r>
  <r>
    <x v="0"/>
    <s v="Travel_Rarely"/>
    <x v="2"/>
    <s v="Ex-Employees"/>
    <x v="0"/>
    <x v="3"/>
    <s v="STAFF-1752"/>
    <n v="1752"/>
    <x v="0"/>
    <x v="6"/>
    <x v="0"/>
    <s v="No"/>
    <s v="Y"/>
    <n v="3"/>
    <n v="-2"/>
    <n v="0"/>
    <n v="29"/>
    <n v="1"/>
    <n v="1"/>
    <n v="1"/>
    <n v="0"/>
    <n v="428"/>
    <n v="9"/>
    <x v="3"/>
    <n v="1"/>
    <n v="2"/>
    <n v="52"/>
    <n v="1"/>
    <n v="1"/>
    <n v="1"/>
    <n v="2760"/>
    <n v="14630"/>
    <n v="1"/>
    <n v="13"/>
    <n v="3"/>
    <n v="3"/>
    <n v="80"/>
    <n v="0"/>
    <n v="2"/>
    <n v="3"/>
    <n v="2"/>
    <n v="2"/>
    <n v="2"/>
    <n v="2"/>
  </r>
  <r>
    <x v="0"/>
    <s v="Travel_Frequently"/>
    <x v="2"/>
    <s v="Ex-Employees"/>
    <x v="1"/>
    <x v="0"/>
    <s v="STAFF-1807"/>
    <n v="1807"/>
    <x v="1"/>
    <x v="2"/>
    <x v="1"/>
    <s v="No"/>
    <s v="Y"/>
    <n v="3"/>
    <n v="-2"/>
    <n v="0"/>
    <n v="34"/>
    <n v="1"/>
    <n v="1"/>
    <n v="1"/>
    <n v="0"/>
    <n v="234"/>
    <n v="9"/>
    <x v="2"/>
    <n v="1"/>
    <n v="4"/>
    <n v="93"/>
    <n v="3"/>
    <n v="2"/>
    <n v="1"/>
    <n v="5346"/>
    <n v="6208"/>
    <n v="4"/>
    <n v="17"/>
    <n v="3"/>
    <n v="3"/>
    <n v="80"/>
    <n v="1"/>
    <n v="11"/>
    <n v="2"/>
    <n v="7"/>
    <n v="1"/>
    <n v="0"/>
    <n v="7"/>
  </r>
  <r>
    <x v="0"/>
    <s v="Travel_Frequently"/>
    <x v="2"/>
    <s v="Ex-Employees"/>
    <x v="1"/>
    <x v="2"/>
    <s v="STAFF-1504"/>
    <n v="1504"/>
    <x v="1"/>
    <x v="2"/>
    <x v="0"/>
    <s v="No"/>
    <s v="Y"/>
    <n v="2"/>
    <n v="-2"/>
    <n v="0"/>
    <n v="28"/>
    <n v="1"/>
    <n v="1"/>
    <n v="1"/>
    <n v="0"/>
    <n v="289"/>
    <n v="2"/>
    <x v="0"/>
    <n v="1"/>
    <n v="3"/>
    <n v="38"/>
    <n v="2"/>
    <n v="1"/>
    <n v="1"/>
    <n v="2561"/>
    <n v="5355"/>
    <n v="7"/>
    <n v="11"/>
    <n v="3"/>
    <n v="3"/>
    <n v="80"/>
    <n v="0"/>
    <n v="8"/>
    <n v="2"/>
    <n v="0"/>
    <n v="0"/>
    <n v="0"/>
    <n v="0"/>
  </r>
  <r>
    <x v="0"/>
    <s v="Travel_Frequently"/>
    <x v="1"/>
    <s v="Ex-Employees"/>
    <x v="0"/>
    <x v="0"/>
    <s v="STAFF-2044"/>
    <n v="2044"/>
    <x v="1"/>
    <x v="0"/>
    <x v="2"/>
    <s v="No"/>
    <s v="Y"/>
    <n v="3"/>
    <n v="-2"/>
    <n v="0"/>
    <n v="50"/>
    <n v="1"/>
    <n v="1"/>
    <n v="1"/>
    <n v="0"/>
    <n v="878"/>
    <n v="1"/>
    <x v="2"/>
    <n v="1"/>
    <n v="2"/>
    <n v="94"/>
    <n v="3"/>
    <n v="2"/>
    <n v="3"/>
    <n v="6728"/>
    <n v="14255"/>
    <n v="7"/>
    <n v="12"/>
    <n v="3"/>
    <n v="4"/>
    <n v="80"/>
    <n v="2"/>
    <n v="12"/>
    <n v="3"/>
    <n v="6"/>
    <n v="3"/>
    <n v="0"/>
    <n v="1"/>
  </r>
  <r>
    <x v="0"/>
    <s v="Travel_Frequently"/>
    <x v="1"/>
    <s v="Ex-Employees"/>
    <x v="0"/>
    <x v="0"/>
    <s v="STAFF-1716"/>
    <n v="1716"/>
    <x v="1"/>
    <x v="0"/>
    <x v="1"/>
    <s v="No"/>
    <s v="Y"/>
    <n v="3"/>
    <n v="-2"/>
    <n v="0"/>
    <n v="47"/>
    <n v="1"/>
    <n v="1"/>
    <n v="1"/>
    <n v="0"/>
    <n v="1093"/>
    <n v="9"/>
    <x v="3"/>
    <n v="1"/>
    <n v="3"/>
    <n v="82"/>
    <n v="1"/>
    <n v="4"/>
    <n v="3"/>
    <n v="12936"/>
    <n v="24164"/>
    <n v="7"/>
    <n v="11"/>
    <n v="3"/>
    <n v="3"/>
    <n v="80"/>
    <n v="0"/>
    <n v="25"/>
    <n v="1"/>
    <n v="23"/>
    <n v="5"/>
    <n v="14"/>
    <n v="10"/>
  </r>
  <r>
    <x v="0"/>
    <s v="Travel_Frequently"/>
    <x v="2"/>
    <s v="Ex-Employees"/>
    <x v="0"/>
    <x v="4"/>
    <s v="STAFF-1486"/>
    <n v="1486"/>
    <x v="1"/>
    <x v="6"/>
    <x v="1"/>
    <s v="No"/>
    <s v="Y"/>
    <n v="3"/>
    <n v="-2"/>
    <n v="0"/>
    <n v="28"/>
    <n v="1"/>
    <n v="1"/>
    <n v="1"/>
    <n v="0"/>
    <n v="1496"/>
    <n v="1"/>
    <x v="3"/>
    <n v="1"/>
    <n v="1"/>
    <n v="92"/>
    <n v="3"/>
    <n v="1"/>
    <n v="4"/>
    <n v="2909"/>
    <n v="15747"/>
    <n v="3"/>
    <n v="15"/>
    <n v="3"/>
    <n v="4"/>
    <n v="80"/>
    <n v="1"/>
    <n v="5"/>
    <n v="4"/>
    <n v="3"/>
    <n v="2"/>
    <n v="1"/>
    <n v="2"/>
  </r>
  <r>
    <x v="0"/>
    <s v="Travel_Frequently"/>
    <x v="4"/>
    <s v="Ex-Employees"/>
    <x v="0"/>
    <x v="3"/>
    <s v="STAFF-2023"/>
    <n v="2023"/>
    <x v="1"/>
    <x v="6"/>
    <x v="1"/>
    <s v="No"/>
    <s v="Y"/>
    <n v="3"/>
    <n v="-2"/>
    <n v="0"/>
    <n v="23"/>
    <n v="1"/>
    <n v="1"/>
    <n v="1"/>
    <n v="0"/>
    <n v="638"/>
    <n v="9"/>
    <x v="3"/>
    <n v="1"/>
    <n v="4"/>
    <n v="33"/>
    <n v="3"/>
    <n v="1"/>
    <n v="1"/>
    <n v="1790"/>
    <n v="26956"/>
    <n v="1"/>
    <n v="19"/>
    <n v="3"/>
    <n v="1"/>
    <n v="80"/>
    <n v="1"/>
    <n v="1"/>
    <n v="2"/>
    <n v="1"/>
    <n v="0"/>
    <n v="1"/>
    <n v="0"/>
  </r>
  <r>
    <x v="0"/>
    <s v="Travel_Frequently"/>
    <x v="2"/>
    <s v="Ex-Employees"/>
    <x v="0"/>
    <x v="4"/>
    <s v="STAFF-1928"/>
    <n v="1928"/>
    <x v="1"/>
    <x v="6"/>
    <x v="0"/>
    <s v="No"/>
    <s v="Y"/>
    <n v="3"/>
    <n v="-2"/>
    <n v="0"/>
    <n v="29"/>
    <n v="1"/>
    <n v="1"/>
    <n v="1"/>
    <n v="0"/>
    <n v="746"/>
    <n v="24"/>
    <x v="3"/>
    <n v="1"/>
    <n v="3"/>
    <n v="45"/>
    <n v="4"/>
    <n v="1"/>
    <n v="4"/>
    <n v="1091"/>
    <n v="10642"/>
    <n v="1"/>
    <n v="17"/>
    <n v="3"/>
    <n v="4"/>
    <n v="80"/>
    <n v="0"/>
    <n v="1"/>
    <n v="3"/>
    <n v="1"/>
    <n v="0"/>
    <n v="0"/>
    <n v="0"/>
  </r>
  <r>
    <x v="0"/>
    <s v="Travel_Rarely"/>
    <x v="2"/>
    <s v="Ex-Employees"/>
    <x v="2"/>
    <x v="5"/>
    <s v="STAFF-1842"/>
    <n v="1842"/>
    <x v="1"/>
    <x v="8"/>
    <x v="1"/>
    <s v="No"/>
    <s v="Y"/>
    <n v="4"/>
    <n v="-2"/>
    <n v="0"/>
    <n v="31"/>
    <n v="1"/>
    <n v="1"/>
    <n v="1"/>
    <n v="0"/>
    <n v="359"/>
    <n v="18"/>
    <x v="4"/>
    <n v="1"/>
    <n v="4"/>
    <n v="89"/>
    <n v="4"/>
    <n v="1"/>
    <n v="1"/>
    <n v="2956"/>
    <n v="21495"/>
    <n v="0"/>
    <n v="17"/>
    <n v="3"/>
    <n v="3"/>
    <n v="80"/>
    <n v="0"/>
    <n v="2"/>
    <n v="3"/>
    <n v="1"/>
    <n v="0"/>
    <n v="0"/>
    <n v="0"/>
  </r>
  <r>
    <x v="0"/>
    <s v="Travel_Rarely"/>
    <x v="4"/>
    <s v="Ex-Employees"/>
    <x v="2"/>
    <x v="5"/>
    <s v="STAFF-1714"/>
    <n v="1714"/>
    <x v="1"/>
    <x v="8"/>
    <x v="1"/>
    <s v="No"/>
    <s v="Y"/>
    <n v="2"/>
    <n v="-2"/>
    <n v="0"/>
    <n v="24"/>
    <n v="1"/>
    <n v="1"/>
    <n v="1"/>
    <n v="0"/>
    <n v="240"/>
    <n v="22"/>
    <x v="1"/>
    <n v="1"/>
    <n v="4"/>
    <n v="58"/>
    <n v="1"/>
    <n v="1"/>
    <n v="3"/>
    <n v="1555"/>
    <n v="11585"/>
    <n v="1"/>
    <n v="11"/>
    <n v="3"/>
    <n v="3"/>
    <n v="80"/>
    <n v="1"/>
    <n v="1"/>
    <n v="3"/>
    <n v="1"/>
    <n v="0"/>
    <n v="0"/>
    <n v="0"/>
  </r>
  <r>
    <x v="0"/>
    <s v="Travel_Rarely"/>
    <x v="2"/>
    <s v="Ex-Employees"/>
    <x v="1"/>
    <x v="4"/>
    <s v="STAFF-1960"/>
    <n v="1960"/>
    <x v="1"/>
    <x v="2"/>
    <x v="2"/>
    <s v="No"/>
    <s v="Y"/>
    <n v="2"/>
    <n v="-2"/>
    <n v="0"/>
    <n v="28"/>
    <n v="1"/>
    <n v="1"/>
    <n v="1"/>
    <n v="0"/>
    <n v="1404"/>
    <n v="17"/>
    <x v="3"/>
    <n v="1"/>
    <n v="3"/>
    <n v="32"/>
    <n v="2"/>
    <n v="1"/>
    <n v="4"/>
    <n v="2367"/>
    <n v="18779"/>
    <n v="5"/>
    <n v="12"/>
    <n v="3"/>
    <n v="1"/>
    <n v="80"/>
    <n v="1"/>
    <n v="6"/>
    <n v="2"/>
    <n v="4"/>
    <n v="1"/>
    <n v="0"/>
    <n v="3"/>
  </r>
  <r>
    <x v="0"/>
    <s v="Travel_Rarely"/>
    <x v="3"/>
    <s v="Ex-Employees"/>
    <x v="1"/>
    <x v="4"/>
    <s v="STAFF-2032"/>
    <n v="2032"/>
    <x v="1"/>
    <x v="2"/>
    <x v="1"/>
    <s v="No"/>
    <s v="Y"/>
    <n v="4"/>
    <n v="-2"/>
    <n v="0"/>
    <n v="56"/>
    <n v="1"/>
    <n v="1"/>
    <n v="1"/>
    <n v="0"/>
    <n v="310"/>
    <n v="7"/>
    <x v="0"/>
    <n v="1"/>
    <n v="4"/>
    <n v="72"/>
    <n v="3"/>
    <n v="1"/>
    <n v="4"/>
    <n v="2339"/>
    <n v="3666"/>
    <n v="8"/>
    <n v="11"/>
    <n v="3"/>
    <n v="4"/>
    <n v="80"/>
    <n v="1"/>
    <n v="14"/>
    <n v="1"/>
    <n v="10"/>
    <n v="9"/>
    <n v="9"/>
    <n v="8"/>
  </r>
  <r>
    <x v="0"/>
    <s v="Travel_Rarely"/>
    <x v="0"/>
    <s v="Ex-Employees"/>
    <x v="1"/>
    <x v="2"/>
    <s v="STAFF-1573"/>
    <n v="1573"/>
    <x v="1"/>
    <x v="3"/>
    <x v="1"/>
    <s v="No"/>
    <s v="Y"/>
    <n v="2"/>
    <n v="-2"/>
    <n v="0"/>
    <n v="38"/>
    <n v="1"/>
    <n v="1"/>
    <n v="1"/>
    <n v="0"/>
    <n v="903"/>
    <n v="2"/>
    <x v="3"/>
    <n v="1"/>
    <n v="3"/>
    <n v="81"/>
    <n v="3"/>
    <n v="2"/>
    <n v="2"/>
    <n v="4855"/>
    <n v="7653"/>
    <n v="4"/>
    <n v="11"/>
    <n v="3"/>
    <n v="1"/>
    <n v="80"/>
    <n v="2"/>
    <n v="7"/>
    <n v="3"/>
    <n v="5"/>
    <n v="2"/>
    <n v="1"/>
    <n v="4"/>
  </r>
  <r>
    <x v="0"/>
    <s v="Travel_Rarely"/>
    <x v="2"/>
    <s v="Ex-Employees"/>
    <x v="1"/>
    <x v="4"/>
    <s v="STAFF-1522"/>
    <n v="1522"/>
    <x v="1"/>
    <x v="1"/>
    <x v="0"/>
    <s v="No"/>
    <s v="Y"/>
    <n v="2"/>
    <n v="-2"/>
    <n v="0"/>
    <n v="29"/>
    <n v="1"/>
    <n v="1"/>
    <n v="1"/>
    <n v="0"/>
    <n v="224"/>
    <n v="1"/>
    <x v="2"/>
    <n v="1"/>
    <n v="1"/>
    <n v="100"/>
    <n v="2"/>
    <n v="1"/>
    <n v="1"/>
    <n v="2362"/>
    <n v="7568"/>
    <n v="6"/>
    <n v="13"/>
    <n v="3"/>
    <n v="3"/>
    <n v="80"/>
    <n v="0"/>
    <n v="11"/>
    <n v="1"/>
    <n v="9"/>
    <n v="7"/>
    <n v="0"/>
    <n v="7"/>
  </r>
  <r>
    <x v="0"/>
    <s v="Travel_Rarely"/>
    <x v="3"/>
    <s v="Ex-Employees"/>
    <x v="1"/>
    <x v="0"/>
    <s v="STAFF-1907"/>
    <n v="1907"/>
    <x v="1"/>
    <x v="2"/>
    <x v="0"/>
    <s v="No"/>
    <s v="Y"/>
    <n v="3"/>
    <n v="-2"/>
    <n v="0"/>
    <n v="56"/>
    <n v="1"/>
    <n v="1"/>
    <n v="1"/>
    <n v="0"/>
    <n v="1162"/>
    <n v="24"/>
    <x v="0"/>
    <n v="1"/>
    <n v="1"/>
    <n v="97"/>
    <n v="3"/>
    <n v="1"/>
    <n v="4"/>
    <n v="2587"/>
    <n v="10261"/>
    <n v="1"/>
    <n v="16"/>
    <n v="3"/>
    <n v="4"/>
    <n v="80"/>
    <n v="0"/>
    <n v="5"/>
    <n v="3"/>
    <n v="4"/>
    <n v="2"/>
    <n v="1"/>
    <n v="0"/>
  </r>
  <r>
    <x v="0"/>
    <s v="Travel_Rarely"/>
    <x v="0"/>
    <s v="Ex-Employees"/>
    <x v="1"/>
    <x v="0"/>
    <s v="STAFF-1534"/>
    <n v="1534"/>
    <x v="1"/>
    <x v="2"/>
    <x v="0"/>
    <s v="No"/>
    <s v="Y"/>
    <n v="3"/>
    <n v="-2"/>
    <n v="0"/>
    <n v="40"/>
    <n v="1"/>
    <n v="1"/>
    <n v="1"/>
    <n v="0"/>
    <n v="676"/>
    <n v="9"/>
    <x v="2"/>
    <n v="1"/>
    <n v="4"/>
    <n v="86"/>
    <n v="3"/>
    <n v="1"/>
    <n v="1"/>
    <n v="2018"/>
    <n v="21831"/>
    <n v="3"/>
    <n v="14"/>
    <n v="3"/>
    <n v="2"/>
    <n v="80"/>
    <n v="0"/>
    <n v="15"/>
    <n v="1"/>
    <n v="5"/>
    <n v="4"/>
    <n v="1"/>
    <n v="0"/>
  </r>
  <r>
    <x v="0"/>
    <s v="Travel_Rarely"/>
    <x v="0"/>
    <s v="Ex-Employees"/>
    <x v="1"/>
    <x v="2"/>
    <s v="STAFF-1809"/>
    <n v="1809"/>
    <x v="1"/>
    <x v="3"/>
    <x v="0"/>
    <s v="No"/>
    <s v="Y"/>
    <n v="4"/>
    <n v="-2"/>
    <n v="0"/>
    <n v="37"/>
    <n v="1"/>
    <n v="1"/>
    <n v="1"/>
    <n v="0"/>
    <n v="370"/>
    <n v="10"/>
    <x v="2"/>
    <n v="1"/>
    <n v="4"/>
    <n v="58"/>
    <n v="3"/>
    <n v="2"/>
    <n v="1"/>
    <n v="4213"/>
    <n v="4992"/>
    <n v="1"/>
    <n v="15"/>
    <n v="3"/>
    <n v="2"/>
    <n v="80"/>
    <n v="0"/>
    <n v="10"/>
    <n v="1"/>
    <n v="10"/>
    <n v="3"/>
    <n v="0"/>
    <n v="8"/>
  </r>
  <r>
    <x v="0"/>
    <s v="Travel_Rarely"/>
    <x v="2"/>
    <s v="Ex-Employees"/>
    <x v="1"/>
    <x v="0"/>
    <s v="STAFF-1692"/>
    <n v="1692"/>
    <x v="1"/>
    <x v="2"/>
    <x v="0"/>
    <s v="No"/>
    <s v="Y"/>
    <n v="2"/>
    <n v="-2"/>
    <n v="0"/>
    <n v="32"/>
    <n v="1"/>
    <n v="1"/>
    <n v="1"/>
    <n v="0"/>
    <n v="1259"/>
    <n v="2"/>
    <x v="2"/>
    <n v="1"/>
    <n v="4"/>
    <n v="95"/>
    <n v="3"/>
    <n v="1"/>
    <n v="2"/>
    <n v="1393"/>
    <n v="24852"/>
    <n v="1"/>
    <n v="12"/>
    <n v="3"/>
    <n v="1"/>
    <n v="80"/>
    <n v="0"/>
    <n v="1"/>
    <n v="3"/>
    <n v="1"/>
    <n v="0"/>
    <n v="0"/>
    <n v="0"/>
  </r>
  <r>
    <x v="0"/>
    <s v="Travel_Rarely"/>
    <x v="1"/>
    <s v="Ex-Employees"/>
    <x v="0"/>
    <x v="3"/>
    <s v="STAFF-1457"/>
    <n v="1457"/>
    <x v="1"/>
    <x v="0"/>
    <x v="2"/>
    <s v="No"/>
    <s v="Y"/>
    <n v="1"/>
    <n v="-2"/>
    <n v="0"/>
    <n v="46"/>
    <n v="1"/>
    <n v="1"/>
    <n v="1"/>
    <n v="0"/>
    <n v="377"/>
    <n v="9"/>
    <x v="3"/>
    <n v="1"/>
    <n v="1"/>
    <n v="52"/>
    <n v="3"/>
    <n v="3"/>
    <n v="1"/>
    <n v="10096"/>
    <n v="15986"/>
    <n v="4"/>
    <n v="11"/>
    <n v="3"/>
    <n v="1"/>
    <n v="80"/>
    <n v="1"/>
    <n v="28"/>
    <n v="4"/>
    <n v="7"/>
    <n v="7"/>
    <n v="4"/>
    <n v="3"/>
  </r>
  <r>
    <x v="0"/>
    <s v="Travel_Rarely"/>
    <x v="2"/>
    <s v="Ex-Employees"/>
    <x v="0"/>
    <x v="0"/>
    <s v="STAFF-1439"/>
    <n v="1439"/>
    <x v="1"/>
    <x v="6"/>
    <x v="1"/>
    <s v="No"/>
    <s v="Y"/>
    <n v="2"/>
    <n v="-2"/>
    <n v="0"/>
    <n v="25"/>
    <n v="1"/>
    <n v="1"/>
    <n v="1"/>
    <n v="0"/>
    <n v="383"/>
    <n v="9"/>
    <x v="0"/>
    <n v="1"/>
    <n v="1"/>
    <n v="68"/>
    <n v="2"/>
    <n v="1"/>
    <n v="1"/>
    <n v="4400"/>
    <n v="15182"/>
    <n v="3"/>
    <n v="12"/>
    <n v="3"/>
    <n v="1"/>
    <n v="80"/>
    <n v="0"/>
    <n v="6"/>
    <n v="3"/>
    <n v="3"/>
    <n v="2"/>
    <n v="2"/>
    <n v="2"/>
  </r>
  <r>
    <x v="0"/>
    <s v="Travel_Rarely"/>
    <x v="0"/>
    <s v="Ex-Employees"/>
    <x v="0"/>
    <x v="2"/>
    <s v="STAFF-1639"/>
    <n v="1639"/>
    <x v="1"/>
    <x v="0"/>
    <x v="1"/>
    <s v="No"/>
    <s v="Y"/>
    <n v="3"/>
    <n v="-2"/>
    <n v="0"/>
    <n v="35"/>
    <n v="1"/>
    <n v="1"/>
    <n v="1"/>
    <n v="0"/>
    <n v="737"/>
    <n v="10"/>
    <x v="3"/>
    <n v="1"/>
    <n v="4"/>
    <n v="55"/>
    <n v="2"/>
    <n v="3"/>
    <n v="1"/>
    <n v="10306"/>
    <n v="21530"/>
    <n v="9"/>
    <n v="17"/>
    <n v="3"/>
    <n v="3"/>
    <n v="80"/>
    <n v="0"/>
    <n v="15"/>
    <n v="3"/>
    <n v="13"/>
    <n v="12"/>
    <n v="6"/>
    <n v="0"/>
  </r>
  <r>
    <x v="0"/>
    <s v="Travel_Rarely"/>
    <x v="2"/>
    <s v="Ex-Employees"/>
    <x v="0"/>
    <x v="0"/>
    <s v="STAFF-1562"/>
    <n v="1562"/>
    <x v="1"/>
    <x v="0"/>
    <x v="1"/>
    <s v="No"/>
    <s v="Y"/>
    <n v="4"/>
    <n v="-2"/>
    <n v="0"/>
    <n v="30"/>
    <n v="1"/>
    <n v="1"/>
    <n v="1"/>
    <n v="0"/>
    <n v="740"/>
    <n v="1"/>
    <x v="3"/>
    <n v="1"/>
    <n v="2"/>
    <n v="64"/>
    <n v="2"/>
    <n v="2"/>
    <n v="1"/>
    <n v="9714"/>
    <n v="5323"/>
    <n v="1"/>
    <n v="11"/>
    <n v="3"/>
    <n v="4"/>
    <n v="80"/>
    <n v="1"/>
    <n v="10"/>
    <n v="3"/>
    <n v="10"/>
    <n v="8"/>
    <n v="6"/>
    <n v="7"/>
  </r>
  <r>
    <x v="0"/>
    <s v="Travel_Rarely"/>
    <x v="2"/>
    <s v="Ex-Employees"/>
    <x v="0"/>
    <x v="3"/>
    <s v="STAFF-1761"/>
    <n v="1761"/>
    <x v="1"/>
    <x v="0"/>
    <x v="1"/>
    <s v="No"/>
    <s v="Y"/>
    <n v="2"/>
    <n v="-2"/>
    <n v="0"/>
    <n v="31"/>
    <n v="1"/>
    <n v="1"/>
    <n v="1"/>
    <n v="0"/>
    <n v="1079"/>
    <n v="16"/>
    <x v="2"/>
    <n v="1"/>
    <n v="1"/>
    <n v="70"/>
    <n v="3"/>
    <n v="3"/>
    <n v="1"/>
    <n v="8161"/>
    <n v="19002"/>
    <n v="2"/>
    <n v="13"/>
    <n v="3"/>
    <n v="1"/>
    <n v="80"/>
    <n v="3"/>
    <n v="10"/>
    <n v="3"/>
    <n v="1"/>
    <n v="0"/>
    <n v="0"/>
    <n v="0"/>
  </r>
  <r>
    <x v="0"/>
    <s v="Travel_Rarely"/>
    <x v="2"/>
    <s v="Ex-Employees"/>
    <x v="0"/>
    <x v="0"/>
    <s v="STAFF-1734"/>
    <n v="1734"/>
    <x v="1"/>
    <x v="0"/>
    <x v="0"/>
    <s v="No"/>
    <s v="Y"/>
    <n v="2"/>
    <n v="-2"/>
    <n v="0"/>
    <n v="32"/>
    <n v="1"/>
    <n v="1"/>
    <n v="1"/>
    <n v="0"/>
    <n v="964"/>
    <n v="1"/>
    <x v="0"/>
    <n v="1"/>
    <n v="1"/>
    <n v="34"/>
    <n v="1"/>
    <n v="2"/>
    <n v="2"/>
    <n v="6735"/>
    <n v="12147"/>
    <n v="6"/>
    <n v="15"/>
    <n v="3"/>
    <n v="2"/>
    <n v="80"/>
    <n v="0"/>
    <n v="10"/>
    <n v="3"/>
    <n v="0"/>
    <n v="0"/>
    <n v="0"/>
    <n v="0"/>
  </r>
  <r>
    <x v="0"/>
    <s v="Travel_Rarely"/>
    <x v="4"/>
    <s v="Ex-Employees"/>
    <x v="0"/>
    <x v="3"/>
    <s v="STAFF-1780"/>
    <n v="1780"/>
    <x v="1"/>
    <x v="6"/>
    <x v="0"/>
    <s v="No"/>
    <s v="Y"/>
    <n v="3"/>
    <n v="-2"/>
    <n v="0"/>
    <n v="21"/>
    <n v="1"/>
    <n v="1"/>
    <n v="1"/>
    <n v="0"/>
    <n v="337"/>
    <n v="7"/>
    <x v="1"/>
    <n v="1"/>
    <n v="2"/>
    <n v="31"/>
    <n v="3"/>
    <n v="1"/>
    <n v="1"/>
    <n v="2679"/>
    <n v="4567"/>
    <n v="1"/>
    <n v="13"/>
    <n v="3"/>
    <n v="2"/>
    <n v="80"/>
    <n v="0"/>
    <n v="1"/>
    <n v="3"/>
    <n v="1"/>
    <n v="0"/>
    <n v="1"/>
    <n v="0"/>
  </r>
  <r>
    <x v="0"/>
    <s v="Travel_Rarely"/>
    <x v="2"/>
    <s v="Ex-Employees"/>
    <x v="0"/>
    <x v="2"/>
    <s v="STAFF-1876"/>
    <n v="1876"/>
    <x v="1"/>
    <x v="6"/>
    <x v="0"/>
    <s v="No"/>
    <s v="Y"/>
    <n v="3"/>
    <n v="-2"/>
    <n v="0"/>
    <n v="30"/>
    <n v="1"/>
    <n v="1"/>
    <n v="1"/>
    <n v="0"/>
    <n v="945"/>
    <n v="9"/>
    <x v="3"/>
    <n v="1"/>
    <n v="2"/>
    <n v="89"/>
    <n v="3"/>
    <n v="1"/>
    <n v="4"/>
    <n v="1081"/>
    <n v="16019"/>
    <n v="1"/>
    <n v="13"/>
    <n v="3"/>
    <n v="3"/>
    <n v="80"/>
    <n v="0"/>
    <n v="1"/>
    <n v="2"/>
    <n v="1"/>
    <n v="0"/>
    <n v="0"/>
    <n v="0"/>
  </r>
  <r>
    <x v="0"/>
    <s v="Travel_Frequently"/>
    <x v="2"/>
    <s v="Ex-Employees"/>
    <x v="1"/>
    <x v="0"/>
    <s v="STAFF-1939"/>
    <n v="1939"/>
    <x v="0"/>
    <x v="1"/>
    <x v="0"/>
    <s v="Yes"/>
    <s v="Y"/>
    <n v="2"/>
    <n v="-2"/>
    <n v="0"/>
    <n v="32"/>
    <n v="1"/>
    <n v="1"/>
    <n v="1"/>
    <n v="0"/>
    <n v="238"/>
    <n v="5"/>
    <x v="0"/>
    <n v="1"/>
    <n v="1"/>
    <n v="47"/>
    <n v="4"/>
    <n v="1"/>
    <n v="3"/>
    <n v="2432"/>
    <n v="15318"/>
    <n v="3"/>
    <n v="14"/>
    <n v="3"/>
    <n v="1"/>
    <n v="80"/>
    <n v="0"/>
    <n v="8"/>
    <n v="3"/>
    <n v="4"/>
    <n v="1"/>
    <n v="0"/>
    <n v="3"/>
  </r>
  <r>
    <x v="0"/>
    <s v="Travel_Frequently"/>
    <x v="2"/>
    <s v="Ex-Employees"/>
    <x v="1"/>
    <x v="1"/>
    <s v="STAFF-1421"/>
    <n v="1421"/>
    <x v="0"/>
    <x v="4"/>
    <x v="0"/>
    <s v="Yes"/>
    <s v="Y"/>
    <n v="1"/>
    <n v="-2"/>
    <n v="0"/>
    <n v="29"/>
    <n v="1"/>
    <n v="1"/>
    <n v="1"/>
    <n v="0"/>
    <n v="337"/>
    <n v="14"/>
    <x v="1"/>
    <n v="1"/>
    <n v="3"/>
    <n v="84"/>
    <n v="3"/>
    <n v="3"/>
    <n v="4"/>
    <n v="7553"/>
    <n v="22930"/>
    <n v="0"/>
    <n v="12"/>
    <n v="3"/>
    <n v="1"/>
    <n v="80"/>
    <n v="0"/>
    <n v="9"/>
    <n v="3"/>
    <n v="8"/>
    <n v="7"/>
    <n v="7"/>
    <n v="7"/>
  </r>
  <r>
    <x v="0"/>
    <s v="Travel_Frequently"/>
    <x v="1"/>
    <s v="Ex-Employees"/>
    <x v="0"/>
    <x v="2"/>
    <s v="STAFF-1691"/>
    <n v="1691"/>
    <x v="0"/>
    <x v="6"/>
    <x v="1"/>
    <s v="Yes"/>
    <s v="Y"/>
    <n v="3"/>
    <n v="-2"/>
    <n v="0"/>
    <n v="48"/>
    <n v="1"/>
    <n v="1"/>
    <n v="1"/>
    <n v="0"/>
    <n v="708"/>
    <n v="7"/>
    <x v="0"/>
    <n v="1"/>
    <n v="4"/>
    <n v="95"/>
    <n v="3"/>
    <n v="1"/>
    <n v="3"/>
    <n v="2655"/>
    <n v="11740"/>
    <n v="2"/>
    <n v="11"/>
    <n v="3"/>
    <n v="3"/>
    <n v="80"/>
    <n v="2"/>
    <n v="19"/>
    <n v="3"/>
    <n v="9"/>
    <n v="7"/>
    <n v="7"/>
    <n v="7"/>
  </r>
  <r>
    <x v="0"/>
    <s v="Travel_Frequently"/>
    <x v="4"/>
    <s v="Ex-Employees"/>
    <x v="0"/>
    <x v="2"/>
    <s v="STAFF-1624"/>
    <n v="1624"/>
    <x v="0"/>
    <x v="6"/>
    <x v="0"/>
    <s v="Yes"/>
    <s v="Y"/>
    <n v="2"/>
    <n v="-2"/>
    <n v="0"/>
    <n v="18"/>
    <n v="1"/>
    <n v="1"/>
    <n v="1"/>
    <n v="0"/>
    <n v="544"/>
    <n v="3"/>
    <x v="0"/>
    <n v="1"/>
    <n v="2"/>
    <n v="70"/>
    <n v="3"/>
    <n v="1"/>
    <n v="4"/>
    <n v="1569"/>
    <n v="18420"/>
    <n v="1"/>
    <n v="12"/>
    <n v="3"/>
    <n v="3"/>
    <n v="80"/>
    <n v="0"/>
    <n v="0"/>
    <n v="4"/>
    <n v="0"/>
    <n v="0"/>
    <n v="0"/>
    <n v="0"/>
  </r>
  <r>
    <x v="0"/>
    <s v="Travel_Rarely"/>
    <x v="2"/>
    <s v="Ex-Employees"/>
    <x v="2"/>
    <x v="2"/>
    <s v="STAFF-1818"/>
    <n v="1818"/>
    <x v="0"/>
    <x v="8"/>
    <x v="1"/>
    <s v="Yes"/>
    <s v="Y"/>
    <n v="3"/>
    <n v="-2"/>
    <n v="0"/>
    <n v="26"/>
    <n v="1"/>
    <n v="1"/>
    <n v="1"/>
    <n v="0"/>
    <n v="920"/>
    <n v="20"/>
    <x v="0"/>
    <n v="1"/>
    <n v="4"/>
    <n v="69"/>
    <n v="3"/>
    <n v="1"/>
    <n v="2"/>
    <n v="2148"/>
    <n v="6889"/>
    <n v="0"/>
    <n v="11"/>
    <n v="3"/>
    <n v="3"/>
    <n v="80"/>
    <n v="0"/>
    <n v="6"/>
    <n v="3"/>
    <n v="5"/>
    <n v="1"/>
    <n v="1"/>
    <n v="4"/>
  </r>
  <r>
    <x v="0"/>
    <s v="Travel_Rarely"/>
    <x v="0"/>
    <s v="Ex-Employees"/>
    <x v="1"/>
    <x v="0"/>
    <s v="STAFF-1569"/>
    <n v="1569"/>
    <x v="0"/>
    <x v="2"/>
    <x v="2"/>
    <s v="Yes"/>
    <s v="Y"/>
    <n v="2"/>
    <n v="-2"/>
    <n v="0"/>
    <n v="35"/>
    <n v="1"/>
    <n v="1"/>
    <n v="1"/>
    <n v="0"/>
    <n v="104"/>
    <n v="2"/>
    <x v="3"/>
    <n v="1"/>
    <n v="1"/>
    <n v="69"/>
    <n v="3"/>
    <n v="1"/>
    <n v="1"/>
    <n v="2074"/>
    <n v="26619"/>
    <n v="1"/>
    <n v="12"/>
    <n v="3"/>
    <n v="4"/>
    <n v="80"/>
    <n v="1"/>
    <n v="1"/>
    <n v="3"/>
    <n v="1"/>
    <n v="0"/>
    <n v="0"/>
    <n v="0"/>
  </r>
  <r>
    <x v="0"/>
    <s v="Travel_Rarely"/>
    <x v="4"/>
    <s v="Ex-Employees"/>
    <x v="1"/>
    <x v="2"/>
    <s v="STAFF-1783"/>
    <n v="1783"/>
    <x v="0"/>
    <x v="2"/>
    <x v="1"/>
    <s v="Yes"/>
    <s v="Y"/>
    <n v="6"/>
    <n v="-2"/>
    <n v="0"/>
    <n v="22"/>
    <n v="1"/>
    <n v="1"/>
    <n v="1"/>
    <n v="0"/>
    <n v="1294"/>
    <n v="8"/>
    <x v="1"/>
    <n v="1"/>
    <n v="3"/>
    <n v="79"/>
    <n v="3"/>
    <n v="1"/>
    <n v="1"/>
    <n v="2398"/>
    <n v="15999"/>
    <n v="1"/>
    <n v="17"/>
    <n v="3"/>
    <n v="3"/>
    <n v="80"/>
    <n v="0"/>
    <n v="1"/>
    <n v="3"/>
    <n v="1"/>
    <n v="0"/>
    <n v="0"/>
    <n v="0"/>
  </r>
  <r>
    <x v="0"/>
    <s v="Travel_Rarely"/>
    <x v="2"/>
    <s v="Ex-Employees"/>
    <x v="0"/>
    <x v="3"/>
    <s v="STAFF-1933"/>
    <n v="1933"/>
    <x v="0"/>
    <x v="0"/>
    <x v="0"/>
    <s v="Yes"/>
    <s v="Y"/>
    <n v="0"/>
    <n v="-2"/>
    <n v="0"/>
    <n v="28"/>
    <n v="1"/>
    <n v="1"/>
    <n v="1"/>
    <n v="0"/>
    <n v="1475"/>
    <n v="13"/>
    <x v="0"/>
    <n v="1"/>
    <n v="4"/>
    <n v="84"/>
    <n v="3"/>
    <n v="2"/>
    <n v="1"/>
    <n v="9854"/>
    <n v="23352"/>
    <n v="3"/>
    <n v="11"/>
    <n v="3"/>
    <n v="4"/>
    <n v="80"/>
    <n v="0"/>
    <n v="6"/>
    <n v="3"/>
    <n v="2"/>
    <n v="0"/>
    <n v="2"/>
    <n v="2"/>
  </r>
  <r>
    <x v="0"/>
    <s v="Travel_Frequently"/>
    <x v="0"/>
    <s v="Ex-Employees"/>
    <x v="1"/>
    <x v="2"/>
    <s v="STAFF-1792"/>
    <n v="1792"/>
    <x v="1"/>
    <x v="1"/>
    <x v="2"/>
    <s v="Yes"/>
    <s v="Y"/>
    <n v="2"/>
    <n v="-2"/>
    <n v="0"/>
    <n v="44"/>
    <n v="1"/>
    <n v="1"/>
    <n v="1"/>
    <n v="0"/>
    <n v="429"/>
    <n v="1"/>
    <x v="0"/>
    <n v="1"/>
    <n v="3"/>
    <n v="99"/>
    <n v="3"/>
    <n v="1"/>
    <n v="2"/>
    <n v="2342"/>
    <n v="11092"/>
    <n v="1"/>
    <n v="12"/>
    <n v="3"/>
    <n v="3"/>
    <n v="80"/>
    <n v="3"/>
    <n v="6"/>
    <n v="2"/>
    <n v="5"/>
    <n v="3"/>
    <n v="2"/>
    <n v="3"/>
  </r>
  <r>
    <x v="0"/>
    <s v="Travel_Frequently"/>
    <x v="2"/>
    <s v="Ex-Employees"/>
    <x v="1"/>
    <x v="0"/>
    <s v="STAFF-1464"/>
    <n v="1464"/>
    <x v="1"/>
    <x v="2"/>
    <x v="1"/>
    <s v="Yes"/>
    <s v="Y"/>
    <n v="2"/>
    <n v="-2"/>
    <n v="0"/>
    <n v="31"/>
    <n v="1"/>
    <n v="1"/>
    <n v="1"/>
    <n v="0"/>
    <n v="523"/>
    <n v="2"/>
    <x v="3"/>
    <n v="1"/>
    <n v="2"/>
    <n v="94"/>
    <n v="3"/>
    <n v="1"/>
    <n v="4"/>
    <n v="3722"/>
    <n v="21081"/>
    <n v="6"/>
    <n v="13"/>
    <n v="3"/>
    <n v="3"/>
    <n v="80"/>
    <n v="1"/>
    <n v="7"/>
    <n v="1"/>
    <n v="2"/>
    <n v="2"/>
    <n v="2"/>
    <n v="2"/>
  </r>
  <r>
    <x v="0"/>
    <s v="Travel_Frequently"/>
    <x v="0"/>
    <s v="Ex-Employees"/>
    <x v="1"/>
    <x v="4"/>
    <s v="STAFF-1767"/>
    <n v="1767"/>
    <x v="1"/>
    <x v="1"/>
    <x v="1"/>
    <s v="Yes"/>
    <s v="Y"/>
    <n v="4"/>
    <n v="-2"/>
    <n v="0"/>
    <n v="43"/>
    <n v="1"/>
    <n v="1"/>
    <n v="1"/>
    <n v="0"/>
    <n v="807"/>
    <n v="17"/>
    <x v="3"/>
    <n v="1"/>
    <n v="3"/>
    <n v="38"/>
    <n v="2"/>
    <n v="1"/>
    <n v="3"/>
    <n v="2437"/>
    <n v="15587"/>
    <n v="9"/>
    <n v="16"/>
    <n v="3"/>
    <n v="4"/>
    <n v="80"/>
    <n v="1"/>
    <n v="6"/>
    <n v="3"/>
    <n v="1"/>
    <n v="0"/>
    <n v="0"/>
    <n v="0"/>
  </r>
  <r>
    <x v="0"/>
    <s v="Travel_Frequently"/>
    <x v="4"/>
    <s v="Ex-Employees"/>
    <x v="1"/>
    <x v="2"/>
    <s v="STAFF-1494"/>
    <n v="1494"/>
    <x v="1"/>
    <x v="2"/>
    <x v="0"/>
    <s v="Yes"/>
    <s v="Y"/>
    <n v="2"/>
    <n v="-2"/>
    <n v="0"/>
    <n v="24"/>
    <n v="1"/>
    <n v="1"/>
    <n v="1"/>
    <n v="0"/>
    <n v="381"/>
    <n v="9"/>
    <x v="3"/>
    <n v="1"/>
    <n v="2"/>
    <n v="89"/>
    <n v="3"/>
    <n v="1"/>
    <n v="1"/>
    <n v="3172"/>
    <n v="16998"/>
    <n v="2"/>
    <n v="11"/>
    <n v="3"/>
    <n v="3"/>
    <n v="80"/>
    <n v="0"/>
    <n v="4"/>
    <n v="2"/>
    <n v="0"/>
    <n v="0"/>
    <n v="0"/>
    <n v="0"/>
  </r>
  <r>
    <x v="0"/>
    <s v="Travel_Frequently"/>
    <x v="2"/>
    <s v="Ex-Employees"/>
    <x v="0"/>
    <x v="3"/>
    <s v="STAFF-1967"/>
    <n v="1967"/>
    <x v="1"/>
    <x v="0"/>
    <x v="1"/>
    <s v="Yes"/>
    <s v="Y"/>
    <n v="4"/>
    <n v="-2"/>
    <n v="0"/>
    <n v="31"/>
    <n v="1"/>
    <n v="1"/>
    <n v="1"/>
    <n v="0"/>
    <n v="754"/>
    <n v="26"/>
    <x v="2"/>
    <n v="1"/>
    <n v="1"/>
    <n v="63"/>
    <n v="3"/>
    <n v="2"/>
    <n v="1"/>
    <n v="5617"/>
    <n v="21075"/>
    <n v="1"/>
    <n v="11"/>
    <n v="3"/>
    <n v="3"/>
    <n v="80"/>
    <n v="0"/>
    <n v="10"/>
    <n v="3"/>
    <n v="10"/>
    <n v="7"/>
    <n v="0"/>
    <n v="8"/>
  </r>
  <r>
    <x v="0"/>
    <s v="Travel_Rarely"/>
    <x v="2"/>
    <s v="Ex-Employees"/>
    <x v="2"/>
    <x v="5"/>
    <s v="STAFF-1844"/>
    <n v="1844"/>
    <x v="1"/>
    <x v="8"/>
    <x v="2"/>
    <s v="Yes"/>
    <s v="Y"/>
    <n v="3"/>
    <n v="-2"/>
    <n v="0"/>
    <n v="29"/>
    <n v="1"/>
    <n v="1"/>
    <n v="1"/>
    <n v="0"/>
    <n v="350"/>
    <n v="13"/>
    <x v="3"/>
    <n v="1"/>
    <n v="1"/>
    <n v="56"/>
    <n v="2"/>
    <n v="1"/>
    <n v="1"/>
    <n v="2335"/>
    <n v="3157"/>
    <n v="4"/>
    <n v="15"/>
    <n v="3"/>
    <n v="4"/>
    <n v="80"/>
    <n v="3"/>
    <n v="4"/>
    <n v="3"/>
    <n v="2"/>
    <n v="2"/>
    <n v="2"/>
    <n v="0"/>
  </r>
  <r>
    <x v="0"/>
    <s v="Travel_Rarely"/>
    <x v="2"/>
    <s v="Ex-Employees"/>
    <x v="1"/>
    <x v="2"/>
    <s v="STAFF-2027"/>
    <n v="2027"/>
    <x v="1"/>
    <x v="1"/>
    <x v="1"/>
    <s v="Yes"/>
    <s v="Y"/>
    <n v="3"/>
    <n v="-2"/>
    <n v="0"/>
    <n v="29"/>
    <n v="1"/>
    <n v="1"/>
    <n v="1"/>
    <n v="0"/>
    <n v="1092"/>
    <n v="1"/>
    <x v="2"/>
    <n v="1"/>
    <n v="1"/>
    <n v="36"/>
    <n v="3"/>
    <n v="1"/>
    <n v="4"/>
    <n v="4787"/>
    <n v="26124"/>
    <n v="9"/>
    <n v="14"/>
    <n v="3"/>
    <n v="2"/>
    <n v="80"/>
    <n v="3"/>
    <n v="4"/>
    <n v="4"/>
    <n v="2"/>
    <n v="2"/>
    <n v="2"/>
    <n v="2"/>
  </r>
  <r>
    <x v="0"/>
    <s v="Travel_Rarely"/>
    <x v="2"/>
    <s v="Ex-Employees"/>
    <x v="1"/>
    <x v="2"/>
    <s v="STAFF-1604"/>
    <n v="1604"/>
    <x v="1"/>
    <x v="2"/>
    <x v="1"/>
    <s v="Yes"/>
    <s v="Y"/>
    <n v="3"/>
    <n v="-2"/>
    <n v="0"/>
    <n v="28"/>
    <n v="1"/>
    <n v="1"/>
    <n v="1"/>
    <n v="0"/>
    <n v="329"/>
    <n v="24"/>
    <x v="3"/>
    <n v="1"/>
    <n v="3"/>
    <n v="51"/>
    <n v="3"/>
    <n v="1"/>
    <n v="2"/>
    <n v="2408"/>
    <n v="7324"/>
    <n v="1"/>
    <n v="17"/>
    <n v="3"/>
    <n v="3"/>
    <n v="80"/>
    <n v="3"/>
    <n v="1"/>
    <n v="3"/>
    <n v="1"/>
    <n v="1"/>
    <n v="0"/>
    <n v="0"/>
  </r>
  <r>
    <x v="0"/>
    <s v="Travel_Rarely"/>
    <x v="0"/>
    <s v="Ex-Employees"/>
    <x v="1"/>
    <x v="0"/>
    <s v="STAFF-1649"/>
    <n v="1649"/>
    <x v="1"/>
    <x v="2"/>
    <x v="0"/>
    <s v="Yes"/>
    <s v="Y"/>
    <n v="3"/>
    <n v="-2"/>
    <n v="0"/>
    <n v="40"/>
    <n v="1"/>
    <n v="1"/>
    <n v="1"/>
    <n v="0"/>
    <n v="1329"/>
    <n v="7"/>
    <x v="3"/>
    <n v="1"/>
    <n v="1"/>
    <n v="73"/>
    <n v="3"/>
    <n v="1"/>
    <n v="1"/>
    <n v="2166"/>
    <n v="3339"/>
    <n v="3"/>
    <n v="14"/>
    <n v="3"/>
    <n v="2"/>
    <n v="80"/>
    <n v="0"/>
    <n v="10"/>
    <n v="1"/>
    <n v="4"/>
    <n v="2"/>
    <n v="0"/>
    <n v="3"/>
  </r>
  <r>
    <x v="0"/>
    <s v="Travel_Rarely"/>
    <x v="4"/>
    <s v="Ex-Employees"/>
    <x v="1"/>
    <x v="2"/>
    <s v="STAFF-1684"/>
    <n v="1684"/>
    <x v="1"/>
    <x v="2"/>
    <x v="0"/>
    <s v="Yes"/>
    <s v="Y"/>
    <n v="2"/>
    <n v="-2"/>
    <n v="0"/>
    <n v="23"/>
    <n v="1"/>
    <n v="1"/>
    <n v="1"/>
    <n v="0"/>
    <n v="1320"/>
    <n v="8"/>
    <x v="1"/>
    <n v="1"/>
    <n v="4"/>
    <n v="93"/>
    <n v="2"/>
    <n v="1"/>
    <n v="3"/>
    <n v="3989"/>
    <n v="20586"/>
    <n v="1"/>
    <n v="11"/>
    <n v="3"/>
    <n v="1"/>
    <n v="80"/>
    <n v="0"/>
    <n v="5"/>
    <n v="3"/>
    <n v="5"/>
    <n v="4"/>
    <n v="1"/>
    <n v="2"/>
  </r>
  <r>
    <x v="0"/>
    <s v="Travel_Rarely"/>
    <x v="1"/>
    <s v="Ex-Employees"/>
    <x v="0"/>
    <x v="3"/>
    <s v="STAFF-2055"/>
    <n v="2055"/>
    <x v="1"/>
    <x v="0"/>
    <x v="2"/>
    <s v="Yes"/>
    <s v="Y"/>
    <n v="3"/>
    <n v="-2"/>
    <n v="0"/>
    <n v="50"/>
    <n v="1"/>
    <n v="1"/>
    <n v="1"/>
    <n v="0"/>
    <n v="410"/>
    <n v="28"/>
    <x v="3"/>
    <n v="1"/>
    <n v="4"/>
    <n v="39"/>
    <n v="2"/>
    <n v="3"/>
    <n v="1"/>
    <n v="10854"/>
    <n v="16586"/>
    <n v="4"/>
    <n v="13"/>
    <n v="3"/>
    <n v="2"/>
    <n v="80"/>
    <n v="1"/>
    <n v="20"/>
    <n v="3"/>
    <n v="3"/>
    <n v="2"/>
    <n v="2"/>
    <n v="0"/>
  </r>
  <r>
    <x v="0"/>
    <s v="Travel_Rarely"/>
    <x v="0"/>
    <s v="Ex-Employees"/>
    <x v="0"/>
    <x v="2"/>
    <s v="STAFF-1645"/>
    <n v="1645"/>
    <x v="1"/>
    <x v="0"/>
    <x v="2"/>
    <s v="Yes"/>
    <s v="Y"/>
    <n v="2"/>
    <n v="-2"/>
    <n v="0"/>
    <n v="35"/>
    <n v="1"/>
    <n v="1"/>
    <n v="1"/>
    <n v="0"/>
    <n v="763"/>
    <n v="15"/>
    <x v="0"/>
    <n v="1"/>
    <n v="1"/>
    <n v="59"/>
    <n v="1"/>
    <n v="2"/>
    <n v="4"/>
    <n v="5440"/>
    <n v="22098"/>
    <n v="6"/>
    <n v="14"/>
    <n v="3"/>
    <n v="4"/>
    <n v="80"/>
    <n v="2"/>
    <n v="7"/>
    <n v="2"/>
    <n v="2"/>
    <n v="2"/>
    <n v="2"/>
    <n v="2"/>
  </r>
  <r>
    <x v="0"/>
    <s v="Travel_Rarely"/>
    <x v="0"/>
    <s v="Ex-Employees"/>
    <x v="0"/>
    <x v="3"/>
    <s v="STAFF-1733"/>
    <n v="1733"/>
    <x v="1"/>
    <x v="0"/>
    <x v="2"/>
    <s v="Yes"/>
    <s v="Y"/>
    <n v="3"/>
    <n v="-2"/>
    <n v="0"/>
    <n v="36"/>
    <n v="1"/>
    <n v="1"/>
    <n v="1"/>
    <n v="0"/>
    <n v="1456"/>
    <n v="13"/>
    <x v="4"/>
    <n v="1"/>
    <n v="2"/>
    <n v="96"/>
    <n v="2"/>
    <n v="2"/>
    <n v="1"/>
    <n v="6134"/>
    <n v="8658"/>
    <n v="5"/>
    <n v="13"/>
    <n v="3"/>
    <n v="2"/>
    <n v="80"/>
    <n v="3"/>
    <n v="16"/>
    <n v="3"/>
    <n v="2"/>
    <n v="2"/>
    <n v="2"/>
    <n v="2"/>
  </r>
  <r>
    <x v="0"/>
    <s v="Travel_Rarely"/>
    <x v="1"/>
    <s v="Ex-Employees"/>
    <x v="0"/>
    <x v="0"/>
    <s v="STAFF-1968"/>
    <n v="1968"/>
    <x v="1"/>
    <x v="0"/>
    <x v="0"/>
    <s v="Yes"/>
    <s v="Y"/>
    <n v="2"/>
    <n v="-2"/>
    <n v="0"/>
    <n v="53"/>
    <n v="1"/>
    <n v="1"/>
    <n v="1"/>
    <n v="0"/>
    <n v="1168"/>
    <n v="24"/>
    <x v="2"/>
    <n v="1"/>
    <n v="1"/>
    <n v="66"/>
    <n v="3"/>
    <n v="3"/>
    <n v="1"/>
    <n v="10448"/>
    <n v="5843"/>
    <n v="6"/>
    <n v="13"/>
    <n v="3"/>
    <n v="2"/>
    <n v="80"/>
    <n v="0"/>
    <n v="15"/>
    <n v="2"/>
    <n v="2"/>
    <n v="2"/>
    <n v="2"/>
    <n v="2"/>
  </r>
  <r>
    <x v="0"/>
    <s v="Travel_Rarely"/>
    <x v="2"/>
    <s v="Ex-Employees"/>
    <x v="0"/>
    <x v="3"/>
    <s v="STAFF-1862"/>
    <n v="1862"/>
    <x v="1"/>
    <x v="0"/>
    <x v="0"/>
    <s v="Yes"/>
    <s v="Y"/>
    <n v="3"/>
    <n v="-2"/>
    <n v="0"/>
    <n v="32"/>
    <n v="1"/>
    <n v="1"/>
    <n v="1"/>
    <n v="0"/>
    <n v="414"/>
    <n v="2"/>
    <x v="2"/>
    <n v="1"/>
    <n v="3"/>
    <n v="82"/>
    <n v="2"/>
    <n v="2"/>
    <n v="2"/>
    <n v="9907"/>
    <n v="26186"/>
    <n v="7"/>
    <n v="12"/>
    <n v="3"/>
    <n v="3"/>
    <n v="80"/>
    <n v="0"/>
    <n v="7"/>
    <n v="2"/>
    <n v="2"/>
    <n v="2"/>
    <n v="2"/>
    <n v="2"/>
  </r>
  <r>
    <x v="0"/>
    <s v="Travel_Rarely"/>
    <x v="0"/>
    <s v="Ex-Employees"/>
    <x v="0"/>
    <x v="0"/>
    <s v="STAFF-1797"/>
    <n v="1797"/>
    <x v="1"/>
    <x v="0"/>
    <x v="0"/>
    <s v="Yes"/>
    <s v="Y"/>
    <n v="2"/>
    <n v="-2"/>
    <n v="0"/>
    <n v="35"/>
    <n v="1"/>
    <n v="1"/>
    <n v="1"/>
    <n v="0"/>
    <n v="303"/>
    <n v="27"/>
    <x v="3"/>
    <n v="1"/>
    <n v="3"/>
    <n v="84"/>
    <n v="3"/>
    <n v="2"/>
    <n v="4"/>
    <n v="5813"/>
    <n v="13492"/>
    <n v="1"/>
    <n v="18"/>
    <n v="3"/>
    <n v="4"/>
    <n v="80"/>
    <n v="0"/>
    <n v="10"/>
    <n v="3"/>
    <n v="10"/>
    <n v="7"/>
    <n v="7"/>
    <n v="7"/>
  </r>
  <r>
    <x v="0"/>
    <s v="Travel_Rarely"/>
    <x v="1"/>
    <s v="Ex-Employees"/>
    <x v="1"/>
    <x v="2"/>
    <s v="STAFF-1821"/>
    <n v="1821"/>
    <x v="0"/>
    <x v="4"/>
    <x v="1"/>
    <s v="No"/>
    <s v="Y"/>
    <n v="2"/>
    <n v="-2"/>
    <n v="0"/>
    <n v="46"/>
    <n v="1"/>
    <n v="1"/>
    <n v="1"/>
    <n v="0"/>
    <n v="261"/>
    <n v="21"/>
    <x v="0"/>
    <n v="1"/>
    <n v="4"/>
    <n v="66"/>
    <n v="3"/>
    <n v="2"/>
    <n v="2"/>
    <n v="8926"/>
    <n v="10842"/>
    <n v="4"/>
    <n v="22"/>
    <n v="4"/>
    <n v="4"/>
    <n v="80"/>
    <n v="1"/>
    <n v="13"/>
    <n v="4"/>
    <n v="9"/>
    <n v="7"/>
    <n v="3"/>
    <n v="7"/>
  </r>
  <r>
    <x v="0"/>
    <s v="Travel_Rarely"/>
    <x v="1"/>
    <s v="Ex-Employees"/>
    <x v="0"/>
    <x v="0"/>
    <s v="STAFF-1869"/>
    <n v="1869"/>
    <x v="0"/>
    <x v="0"/>
    <x v="1"/>
    <s v="No"/>
    <s v="Y"/>
    <n v="2"/>
    <n v="-2"/>
    <n v="0"/>
    <n v="46"/>
    <n v="1"/>
    <n v="1"/>
    <n v="1"/>
    <n v="0"/>
    <n v="1254"/>
    <n v="10"/>
    <x v="3"/>
    <n v="1"/>
    <n v="3"/>
    <n v="64"/>
    <n v="3"/>
    <n v="3"/>
    <n v="2"/>
    <n v="7314"/>
    <n v="14011"/>
    <n v="5"/>
    <n v="21"/>
    <n v="4"/>
    <n v="3"/>
    <n v="80"/>
    <n v="3"/>
    <n v="14"/>
    <n v="3"/>
    <n v="8"/>
    <n v="7"/>
    <n v="0"/>
    <n v="7"/>
  </r>
  <r>
    <x v="0"/>
    <s v="Travel_Frequently"/>
    <x v="1"/>
    <s v="Ex-Employees"/>
    <x v="1"/>
    <x v="0"/>
    <s v="STAFF-1420"/>
    <n v="1420"/>
    <x v="1"/>
    <x v="2"/>
    <x v="0"/>
    <s v="No"/>
    <s v="Y"/>
    <n v="2"/>
    <n v="-2"/>
    <n v="0"/>
    <n v="49"/>
    <n v="1"/>
    <n v="1"/>
    <n v="1"/>
    <n v="0"/>
    <n v="1475"/>
    <n v="28"/>
    <x v="0"/>
    <n v="1"/>
    <n v="1"/>
    <n v="97"/>
    <n v="2"/>
    <n v="2"/>
    <n v="1"/>
    <n v="4284"/>
    <n v="22710"/>
    <n v="3"/>
    <n v="20"/>
    <n v="4"/>
    <n v="1"/>
    <n v="80"/>
    <n v="0"/>
    <n v="20"/>
    <n v="3"/>
    <n v="4"/>
    <n v="3"/>
    <n v="1"/>
    <n v="3"/>
  </r>
  <r>
    <x v="0"/>
    <s v="Non-Travel"/>
    <x v="0"/>
    <s v="Ex-Employees"/>
    <x v="1"/>
    <x v="0"/>
    <s v="STAFF-1458"/>
    <n v="1458"/>
    <x v="0"/>
    <x v="2"/>
    <x v="0"/>
    <s v="Yes"/>
    <s v="Y"/>
    <n v="2"/>
    <n v="-2"/>
    <n v="0"/>
    <n v="39"/>
    <n v="1"/>
    <n v="1"/>
    <n v="1"/>
    <n v="0"/>
    <n v="592"/>
    <n v="2"/>
    <x v="3"/>
    <n v="1"/>
    <n v="1"/>
    <n v="54"/>
    <n v="2"/>
    <n v="1"/>
    <n v="1"/>
    <n v="3646"/>
    <n v="17181"/>
    <n v="2"/>
    <n v="23"/>
    <n v="4"/>
    <n v="2"/>
    <n v="80"/>
    <n v="0"/>
    <n v="11"/>
    <n v="4"/>
    <n v="1"/>
    <n v="0"/>
    <n v="0"/>
    <n v="0"/>
  </r>
  <r>
    <x v="0"/>
    <s v="Travel_Rarely"/>
    <x v="2"/>
    <s v="Ex-Employees"/>
    <x v="0"/>
    <x v="2"/>
    <s v="STAFF-1489"/>
    <n v="1489"/>
    <x v="0"/>
    <x v="0"/>
    <x v="0"/>
    <s v="Yes"/>
    <s v="Y"/>
    <n v="2"/>
    <n v="-2"/>
    <n v="0"/>
    <n v="34"/>
    <n v="1"/>
    <n v="1"/>
    <n v="1"/>
    <n v="0"/>
    <n v="790"/>
    <n v="24"/>
    <x v="2"/>
    <n v="1"/>
    <n v="1"/>
    <n v="40"/>
    <n v="2"/>
    <n v="2"/>
    <n v="2"/>
    <n v="4599"/>
    <n v="7815"/>
    <n v="0"/>
    <n v="23"/>
    <n v="4"/>
    <n v="3"/>
    <n v="80"/>
    <n v="0"/>
    <n v="16"/>
    <n v="4"/>
    <n v="15"/>
    <n v="9"/>
    <n v="10"/>
    <n v="10"/>
  </r>
  <r>
    <x v="0"/>
    <s v="Travel_Rarely"/>
    <x v="2"/>
    <s v="Ex-Employees"/>
    <x v="0"/>
    <x v="0"/>
    <s v="STAFF-1758"/>
    <n v="1758"/>
    <x v="0"/>
    <x v="0"/>
    <x v="0"/>
    <s v="Yes"/>
    <s v="Y"/>
    <n v="2"/>
    <n v="-2"/>
    <n v="0"/>
    <n v="33"/>
    <n v="1"/>
    <n v="1"/>
    <n v="1"/>
    <n v="0"/>
    <n v="211"/>
    <n v="16"/>
    <x v="3"/>
    <n v="1"/>
    <n v="1"/>
    <n v="74"/>
    <n v="3"/>
    <n v="3"/>
    <n v="1"/>
    <n v="8564"/>
    <n v="10092"/>
    <n v="2"/>
    <n v="20"/>
    <n v="4"/>
    <n v="3"/>
    <n v="80"/>
    <n v="0"/>
    <n v="11"/>
    <n v="2"/>
    <n v="0"/>
    <n v="0"/>
    <n v="0"/>
    <n v="0"/>
  </r>
  <r>
    <x v="0"/>
    <s v="Non-Travel"/>
    <x v="2"/>
    <s v="Ex-Employees"/>
    <x v="1"/>
    <x v="4"/>
    <s v="STAFF-1905"/>
    <n v="1905"/>
    <x v="1"/>
    <x v="1"/>
    <x v="1"/>
    <s v="Yes"/>
    <s v="Y"/>
    <n v="2"/>
    <n v="-2"/>
    <n v="0"/>
    <n v="34"/>
    <n v="1"/>
    <n v="1"/>
    <n v="1"/>
    <n v="0"/>
    <n v="967"/>
    <n v="16"/>
    <x v="2"/>
    <n v="1"/>
    <n v="4"/>
    <n v="85"/>
    <n v="1"/>
    <n v="1"/>
    <n v="1"/>
    <n v="2307"/>
    <n v="14460"/>
    <n v="1"/>
    <n v="23"/>
    <n v="4"/>
    <n v="2"/>
    <n v="80"/>
    <n v="1"/>
    <n v="5"/>
    <n v="3"/>
    <n v="5"/>
    <n v="2"/>
    <n v="3"/>
    <n v="0"/>
  </r>
  <r>
    <x v="0"/>
    <s v="Travel_Frequently"/>
    <x v="2"/>
    <s v="Ex-Employees"/>
    <x v="1"/>
    <x v="0"/>
    <s v="STAFF-1868"/>
    <n v="1868"/>
    <x v="1"/>
    <x v="1"/>
    <x v="0"/>
    <s v="Yes"/>
    <s v="Y"/>
    <n v="3"/>
    <n v="-2"/>
    <n v="0"/>
    <n v="29"/>
    <n v="1"/>
    <n v="1"/>
    <n v="1"/>
    <n v="0"/>
    <n v="459"/>
    <n v="24"/>
    <x v="0"/>
    <n v="1"/>
    <n v="4"/>
    <n v="73"/>
    <n v="2"/>
    <n v="1"/>
    <n v="4"/>
    <n v="2439"/>
    <n v="14753"/>
    <n v="1"/>
    <n v="24"/>
    <n v="4"/>
    <n v="2"/>
    <n v="80"/>
    <n v="0"/>
    <n v="1"/>
    <n v="2"/>
    <n v="1"/>
    <n v="0"/>
    <n v="1"/>
    <n v="0"/>
  </r>
  <r>
    <x v="0"/>
    <s v="Travel_Frequently"/>
    <x v="0"/>
    <s v="Ex-Employees"/>
    <x v="0"/>
    <x v="1"/>
    <s v="STAFF-1667"/>
    <n v="1667"/>
    <x v="1"/>
    <x v="0"/>
    <x v="0"/>
    <s v="Yes"/>
    <s v="Y"/>
    <n v="2"/>
    <n v="-2"/>
    <n v="0"/>
    <n v="35"/>
    <n v="1"/>
    <n v="1"/>
    <n v="1"/>
    <n v="0"/>
    <n v="880"/>
    <n v="12"/>
    <x v="2"/>
    <n v="1"/>
    <n v="4"/>
    <n v="36"/>
    <n v="3"/>
    <n v="2"/>
    <n v="4"/>
    <n v="4581"/>
    <n v="10414"/>
    <n v="3"/>
    <n v="24"/>
    <n v="4"/>
    <n v="1"/>
    <n v="80"/>
    <n v="0"/>
    <n v="13"/>
    <n v="4"/>
    <n v="11"/>
    <n v="9"/>
    <n v="6"/>
    <n v="7"/>
  </r>
  <r>
    <x v="0"/>
    <s v="Travel_Rarely"/>
    <x v="4"/>
    <s v="Ex-Employees"/>
    <x v="1"/>
    <x v="0"/>
    <s v="STAFF-1878"/>
    <n v="1878"/>
    <x v="1"/>
    <x v="1"/>
    <x v="0"/>
    <s v="Yes"/>
    <s v="Y"/>
    <n v="2"/>
    <n v="-2"/>
    <n v="0"/>
    <n v="22"/>
    <n v="1"/>
    <n v="1"/>
    <n v="1"/>
    <n v="0"/>
    <n v="391"/>
    <n v="7"/>
    <x v="1"/>
    <n v="1"/>
    <n v="4"/>
    <n v="75"/>
    <n v="3"/>
    <n v="1"/>
    <n v="2"/>
    <n v="2472"/>
    <n v="26092"/>
    <n v="1"/>
    <n v="23"/>
    <n v="4"/>
    <n v="1"/>
    <n v="80"/>
    <n v="0"/>
    <n v="1"/>
    <n v="3"/>
    <n v="1"/>
    <n v="0"/>
    <n v="0"/>
    <n v="0"/>
  </r>
  <r>
    <x v="0"/>
    <s v="Travel_Rarely"/>
    <x v="4"/>
    <s v="Ex-Employees"/>
    <x v="0"/>
    <x v="0"/>
    <s v="STAFF-1702"/>
    <n v="1702"/>
    <x v="1"/>
    <x v="6"/>
    <x v="2"/>
    <s v="Yes"/>
    <s v="Y"/>
    <n v="2"/>
    <n v="-2"/>
    <n v="0"/>
    <n v="23"/>
    <n v="1"/>
    <n v="1"/>
    <n v="1"/>
    <n v="0"/>
    <n v="427"/>
    <n v="7"/>
    <x v="3"/>
    <n v="1"/>
    <n v="3"/>
    <n v="99"/>
    <n v="3"/>
    <n v="1"/>
    <n v="4"/>
    <n v="2275"/>
    <n v="25103"/>
    <n v="1"/>
    <n v="21"/>
    <n v="4"/>
    <n v="2"/>
    <n v="80"/>
    <n v="1"/>
    <n v="3"/>
    <n v="3"/>
    <n v="3"/>
    <n v="2"/>
    <n v="0"/>
    <n v="2"/>
  </r>
  <r>
    <x v="2"/>
    <m/>
    <x v="5"/>
    <m/>
    <x v="3"/>
    <x v="6"/>
    <m/>
    <m/>
    <x v="2"/>
    <x v="9"/>
    <x v="3"/>
    <m/>
    <m/>
    <m/>
    <m/>
    <m/>
    <m/>
    <m/>
    <m/>
    <m/>
    <m/>
    <m/>
    <m/>
    <x v="5"/>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F80F13-E2C0-487C-88AC-95911AD2EA2F}"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items count="4">
        <item x="1"/>
        <item x="0"/>
        <item x="2"/>
        <item t="default"/>
      </items>
    </pivotField>
    <pivotField showAll="0"/>
    <pivotField showAll="0"/>
    <pivotField showAll="0"/>
    <pivotField showAll="0">
      <items count="5">
        <item h="1" x="2"/>
        <item h="1" x="1"/>
        <item x="0"/>
        <item h="1" x="3"/>
        <item t="default"/>
      </items>
    </pivotField>
    <pivotField showAll="0">
      <items count="8">
        <item x="5"/>
        <item x="0"/>
        <item x="3"/>
        <item x="2"/>
        <item x="1"/>
        <item x="4"/>
        <item x="6"/>
        <item t="default"/>
      </items>
    </pivotField>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Count" fld="24" subtotal="count" baseField="0" baseItem="0"/>
    <dataField name="Sum of CF_attrition count" fld="17" baseField="0" baseItem="0"/>
    <dataField name="Average of Age" fld="16" subtotal="average" baseField="0" baseItem="1" numFmtId="1"/>
  </dataFields>
  <formats count="1">
    <format dxfId="0">
      <pivotArea outline="0" collapsedLevelsAreSubtotals="1" fieldPosition="0">
        <references count="1">
          <reference field="4294967294" count="1" selected="0">
            <x v="2"/>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D43EE4-4C92-4AC0-8501-375D9E067D38}" name="char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5">
        <item h="1" x="2"/>
        <item h="1" x="1"/>
        <item x="0"/>
        <item h="1" x="3"/>
        <item t="default"/>
      </items>
    </pivotField>
    <pivotField showAll="0">
      <items count="8">
        <item x="5"/>
        <item x="0"/>
        <item x="3"/>
        <item x="2"/>
        <item x="1"/>
        <item x="4"/>
        <item x="6"/>
        <item t="default"/>
      </items>
    </pivotField>
    <pivotField showAll="0"/>
    <pivotField showAll="0"/>
    <pivotField showAll="0">
      <items count="4">
        <item h="1"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1248E6-01F9-4CA3-BE64-893C170FB9DB}"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44">
    <pivotField showAll="0"/>
    <pivotField showAll="0"/>
    <pivotField showAll="0"/>
    <pivotField showAll="0"/>
    <pivotField showAll="0">
      <items count="5">
        <item h="1" x="2"/>
        <item h="1" x="1"/>
        <item x="0"/>
        <item h="1" x="3"/>
        <item t="default"/>
      </items>
    </pivotField>
    <pivotField showAll="0">
      <items count="8">
        <item x="5"/>
        <item x="0"/>
        <item x="3"/>
        <item x="2"/>
        <item x="1"/>
        <item x="4"/>
        <item x="6"/>
        <item t="default"/>
      </items>
    </pivotField>
    <pivotField showAll="0"/>
    <pivotField showAll="0"/>
    <pivotField axis="axisRow" showAll="0">
      <items count="4">
        <item h="1"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2">
    <i>
      <x v="1"/>
    </i>
    <i t="grand">
      <x/>
    </i>
  </rowItems>
  <colItems count="1">
    <i/>
  </colItems>
  <dataFields count="1">
    <dataField name="Sum of Employee Count" fld="24"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C0B8EA-F211-452E-96BF-C9AFDE1168BE}" name="Education by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44">
    <pivotField showAll="0">
      <items count="4">
        <item x="1"/>
        <item x="0"/>
        <item x="2"/>
        <item t="default"/>
      </items>
    </pivotField>
    <pivotField showAll="0"/>
    <pivotField showAll="0"/>
    <pivotField showAll="0"/>
    <pivotField showAll="0">
      <items count="5">
        <item h="1" x="2"/>
        <item h="1" x="1"/>
        <item x="0"/>
        <item h="1" x="3"/>
        <item t="default"/>
      </items>
    </pivotField>
    <pivotField axis="axisRow" showAll="0">
      <items count="8">
        <item x="5"/>
        <item x="0"/>
        <item x="3"/>
        <item x="2"/>
        <item x="1"/>
        <item x="4"/>
        <item x="6"/>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6">
    <i>
      <x v="1"/>
    </i>
    <i>
      <x v="2"/>
    </i>
    <i>
      <x v="3"/>
    </i>
    <i>
      <x v="4"/>
    </i>
    <i>
      <x v="5"/>
    </i>
    <i t="grand">
      <x/>
    </i>
  </rowItems>
  <colItems count="1">
    <i/>
  </colItems>
  <dataFields count="1">
    <dataField name="Sum of CF_attrition count" fld="17" baseField="0" baseItem="0"/>
  </dataField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C75026-E5B5-46E9-B021-BAEB8FADA1D8}" name="department 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5" firstHeaderRow="1" firstDataRow="1" firstDataCol="1"/>
  <pivotFields count="44">
    <pivotField showAll="0"/>
    <pivotField showAll="0"/>
    <pivotField showAll="0"/>
    <pivotField showAll="0"/>
    <pivotField axis="axisRow" showAll="0">
      <items count="5">
        <item h="1" x="2"/>
        <item h="1" x="1"/>
        <item x="0"/>
        <item h="1" x="3"/>
        <item t="default"/>
      </items>
    </pivotField>
    <pivotField showAll="0">
      <items count="8">
        <item x="5"/>
        <item x="0"/>
        <item x="3"/>
        <item x="2"/>
        <item x="1"/>
        <item x="4"/>
        <item x="6"/>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2">
    <i>
      <x v="2"/>
    </i>
    <i t="grand">
      <x/>
    </i>
  </rowItems>
  <colItems count="1">
    <i/>
  </colItems>
  <dataFields count="1">
    <dataField name="Sum of CF_attrition count" fld="17" showDataAs="percentOfTotal" baseField="0" baseItem="0" numFmtId="10"/>
  </dataFields>
  <chartFormats count="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4" count="1" selected="0">
            <x v="0"/>
          </reference>
        </references>
      </pivotArea>
    </chartFormat>
    <chartFormat chart="3" format="2">
      <pivotArea type="data" outline="0" fieldPosition="0">
        <references count="2">
          <reference field="4294967294" count="1" selected="0">
            <x v="0"/>
          </reference>
          <reference field="4" count="1" selected="0">
            <x v="1"/>
          </reference>
        </references>
      </pivotArea>
    </chartFormat>
    <chartFormat chart="3" format="3">
      <pivotArea type="data" outline="0" fieldPosition="0">
        <references count="2">
          <reference field="4294967294" count="1" selected="0">
            <x v="0"/>
          </reference>
          <reference field="4"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4" count="1" selected="0">
            <x v="0"/>
          </reference>
        </references>
      </pivotArea>
    </chartFormat>
    <chartFormat chart="5" format="10">
      <pivotArea type="data" outline="0" fieldPosition="0">
        <references count="2">
          <reference field="4294967294" count="1" selected="0">
            <x v="0"/>
          </reference>
          <reference field="4" count="1" selected="0">
            <x v="1"/>
          </reference>
        </references>
      </pivotArea>
    </chartFormat>
    <chartFormat chart="5" format="11">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70443F3-6767-4002-B9D3-2BF7AEE4CF33}" name="Attrition by job"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showAll="0"/>
    <pivotField showAll="0"/>
    <pivotField showAll="0"/>
    <pivotField showAll="0"/>
    <pivotField showAll="0">
      <items count="5">
        <item h="1" x="2"/>
        <item h="1" x="1"/>
        <item x="0"/>
        <item h="1" x="3"/>
        <item t="default"/>
      </items>
    </pivotField>
    <pivotField showAll="0">
      <items count="8">
        <item x="5"/>
        <item x="0"/>
        <item x="3"/>
        <item x="2"/>
        <item x="1"/>
        <item x="4"/>
        <item x="6"/>
        <item t="default"/>
      </items>
    </pivotField>
    <pivotField showAll="0"/>
    <pivotField showAll="0"/>
    <pivotField showAll="0"/>
    <pivotField axis="axisRow" showAll="0">
      <items count="11">
        <item x="4"/>
        <item x="8"/>
        <item x="2"/>
        <item x="5"/>
        <item x="3"/>
        <item x="7"/>
        <item x="1"/>
        <item x="0"/>
        <item x="6"/>
        <item h="1" x="9"/>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4">
    <i>
      <x v="3"/>
    </i>
    <i>
      <x v="7"/>
    </i>
    <i>
      <x v="8"/>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63A2D24-F6B0-408C-B13B-DE333E443493}" name="attrition by age 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44">
    <pivotField showAll="0"/>
    <pivotField showAll="0"/>
    <pivotField axis="axisRow" showAll="0" sortType="ascending">
      <items count="7">
        <item x="2"/>
        <item x="0"/>
        <item x="1"/>
        <item x="3"/>
        <item x="4"/>
        <item h="1" x="5"/>
        <item t="default"/>
      </items>
      <autoSortScope>
        <pivotArea dataOnly="0" outline="0" fieldPosition="0">
          <references count="1">
            <reference field="4294967294" count="1" selected="0">
              <x v="0"/>
            </reference>
          </references>
        </pivotArea>
      </autoSortScope>
    </pivotField>
    <pivotField showAll="0"/>
    <pivotField showAll="0">
      <items count="5">
        <item h="1" x="2"/>
        <item h="1" x="1"/>
        <item x="0"/>
        <item h="1" x="3"/>
        <item t="default"/>
      </items>
    </pivotField>
    <pivotField showAll="0">
      <items count="8">
        <item x="5"/>
        <item x="0"/>
        <item x="3"/>
        <item x="2"/>
        <item x="1"/>
        <item x="4"/>
        <item x="6"/>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v="3"/>
    </i>
    <i>
      <x v="4"/>
    </i>
    <i>
      <x v="2"/>
    </i>
    <i>
      <x v="1"/>
    </i>
    <i>
      <x/>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3C6F278-6BFD-40EB-AA97-B42B9D6C2A8A}" name="by marital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items count="4">
        <item x="1"/>
        <item x="0"/>
        <item x="2"/>
        <item t="default"/>
      </items>
    </pivotField>
    <pivotField showAll="0"/>
    <pivotField showAll="0"/>
    <pivotField showAll="0"/>
    <pivotField showAll="0">
      <items count="5">
        <item h="1" x="2"/>
        <item h="1" x="1"/>
        <item x="0"/>
        <item h="1" x="3"/>
        <item t="default"/>
      </items>
    </pivotField>
    <pivotField showAll="0">
      <items count="8">
        <item x="5"/>
        <item x="0"/>
        <item x="3"/>
        <item x="2"/>
        <item x="1"/>
        <item x="4"/>
        <item x="6"/>
        <item t="default"/>
      </items>
    </pivotField>
    <pivotField showAll="0"/>
    <pivotField showAll="0"/>
    <pivotField showAll="0"/>
    <pivotField showAll="0"/>
    <pivotField axis="axisRow" showAll="0" sortType="ascending">
      <items count="5">
        <item x="2"/>
        <item x="1"/>
        <item x="0"/>
        <item h="1"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C02633B-6075-43A2-B11F-8B267A9FF6A6}" name="educa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44">
    <pivotField dataField="1" showAll="0">
      <items count="4">
        <item x="1"/>
        <item x="0"/>
        <item x="2"/>
        <item t="default"/>
      </items>
    </pivotField>
    <pivotField showAll="0"/>
    <pivotField showAll="0"/>
    <pivotField showAll="0"/>
    <pivotField showAll="0">
      <items count="5">
        <item h="1" x="2"/>
        <item h="1" x="1"/>
        <item x="0"/>
        <item h="1" x="3"/>
        <item t="default"/>
      </items>
    </pivotField>
    <pivotField showAll="0">
      <items count="8">
        <item x="5"/>
        <item x="0"/>
        <item x="3"/>
        <item x="2"/>
        <item x="1"/>
        <item x="4"/>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7">
        <item x="0"/>
        <item x="3"/>
        <item x="4"/>
        <item x="1"/>
        <item x="2"/>
        <item h="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Count of Attrition" fld="0" subtotal="count" baseField="0" baseItem="0"/>
  </dataFields>
  <chartFormats count="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F607636-C267-4E40-BC63-2F87A967F0A2}" sourceName="Gender">
  <pivotTables>
    <pivotTable tabId="8" name="chart"/>
  </pivotTables>
  <data>
    <tabular pivotCacheId="1802058364">
      <items count="3">
        <i x="0"/>
        <i x="1" s="1"/>
        <i x="2"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510B1CCC-4C8B-4EC5-B84D-94BD16A13254}" sourceName="Education Field">
  <pivotTables>
    <pivotTable tabId="8" name="chart"/>
    <pivotTable tabId="7" name="KPI"/>
    <pivotTable tabId="19" name="education"/>
    <pivotTable tabId="9" name="gender"/>
    <pivotTable tabId="10" name="Education by attrition"/>
    <pivotTable tabId="11" name="department wise attrition"/>
    <pivotTable tabId="12" name="Attrition by job"/>
    <pivotTable tabId="15" name="attrition by age group"/>
    <pivotTable tabId="16" name="by marital status"/>
  </pivotTables>
  <data>
    <tabular pivotCacheId="1802058364">
      <items count="7">
        <i x="0" s="1"/>
        <i x="3" s="1"/>
        <i x="2" s="1"/>
        <i x="1" s="1"/>
        <i x="4" s="1"/>
        <i x="5" s="1" nd="1"/>
        <i x="6"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4815D057-470C-40EF-ABB9-E522B7DC9E26}" sourceName="Gender">
  <pivotTables>
    <pivotTable tabId="9" name="gender"/>
  </pivotTables>
  <data>
    <tabular pivotCacheId="1802058364">
      <items count="3">
        <i x="0"/>
        <i x="1" s="1"/>
        <i x="2"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B47793F-E319-4EAA-9263-5AB9109F7A55}" sourceName="Department">
  <pivotTables>
    <pivotTable tabId="11" name="department wise attrition"/>
    <pivotTable tabId="7" name="KPI"/>
    <pivotTable tabId="19" name="education"/>
    <pivotTable tabId="8" name="chart"/>
    <pivotTable tabId="9" name="gender"/>
    <pivotTable tabId="10" name="Education by attrition"/>
    <pivotTable tabId="12" name="Attrition by job"/>
    <pivotTable tabId="15" name="attrition by age group"/>
    <pivotTable tabId="16" name="by marital status"/>
  </pivotTables>
  <data>
    <tabular pivotCacheId="1802058364">
      <items count="4">
        <i x="2"/>
        <i x="1"/>
        <i x="0" s="1"/>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16894D70-782E-465C-A77F-43D3D453CCE0}" cache="Slicer_Gender" caption="Gender" columnCount="2" style="SlicerStyleLight4" rowHeight="648000"/>
  <slicer name="Education Field 2" xr10:uid="{D9B51A25-59E0-40CA-9257-84F922EA3EE5}" cache="Slicer_Education_Field" style="Slicer Style 3" rowHeight="396000"/>
  <slicer name="Department 1" xr10:uid="{51975B0D-A608-4CA8-AD69-D9C07A4FD8CC}" cache="Slicer_Department" style="Slicer Style 3" rowHeight="612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5493956-880F-4AEA-A72D-DA626B1FEDBC}" cache="Slicer_Gender" caption="Gender" rowHeight="260350"/>
  <slicer name="Education Field" xr10:uid="{77A9DAB4-82F5-4261-97D1-2C84DA569EBD}" cache="Slicer_Education_Field" caption="Education Field"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1" xr10:uid="{CE6E4619-36AF-4F5F-B8B2-B81B8EDC25F6}" cache="Slicer_Education_Field" caption="Education Field" rowHeight="260350"/>
  <slicer name="Gender 1" xr10:uid="{3F615AB6-86D9-4657-BC5F-B97DCEF88DDD}" cache="Slicer_Gender1" caption="Gender"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C06611F1-2A3D-4130-A8F4-DBE6E3DFC488}" cache="Slicer_Department" caption="Department"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C369B26-B155-4BEC-AF17-6DA5467C02BB}" name="Table2" displayName="Table2" ref="A3:AR66" totalsRowShown="0">
  <autoFilter ref="A3:AR66" xr:uid="{8C369B26-B155-4BEC-AF17-6DA5467C02BB}"/>
  <tableColumns count="44">
    <tableColumn id="1" xr3:uid="{77EBB5BC-8318-4412-8F50-8642D9A95EB0}" name="Attrition"/>
    <tableColumn id="2" xr3:uid="{254C6699-C181-481F-BCCB-676294BADFD6}" name="Business Travel"/>
    <tableColumn id="3" xr3:uid="{18724F7E-756C-4E3E-80D8-88FFB2E4D97E}" name="CF_age band"/>
    <tableColumn id="4" xr3:uid="{83D5D363-A750-48D1-926A-07D4F57E6477}" name="CF_attrition label"/>
    <tableColumn id="5" xr3:uid="{44C173BE-79AE-4850-A586-A37C6BE71581}" name="Department"/>
    <tableColumn id="6" xr3:uid="{A0299B0C-5D89-48E3-8360-67E8CA9245DA}" name="Education Field"/>
    <tableColumn id="7" xr3:uid="{914C7DFD-72BB-4045-B12C-F8BA4158C06D}" name="emp no"/>
    <tableColumn id="8" xr3:uid="{EFF3329F-B974-49F6-90E2-5C4BFCB22A05}" name="Employee Number"/>
    <tableColumn id="9" xr3:uid="{32D3D496-8680-4518-9DD6-9E15429B07D6}" name="Gender"/>
    <tableColumn id="10" xr3:uid="{BABF7DB0-E207-4CC9-9791-9B4646B93FFE}" name="Job Role"/>
    <tableColumn id="11" xr3:uid="{BBD6A4BC-D470-4A48-9D17-2E0350CCDCBF}" name="Marital Status"/>
    <tableColumn id="12" xr3:uid="{5658CE77-E80E-4C76-8658-781716DAD67E}" name="Over Time"/>
    <tableColumn id="13" xr3:uid="{8B88DB90-BC39-4C62-99BB-B8B8DD387E06}" name="Over18"/>
    <tableColumn id="14" xr3:uid="{E9E0F856-9785-4DCB-A58B-5EF9A9AADC3F}" name="Training Times Last Year"/>
    <tableColumn id="15" xr3:uid="{5700F55A-DEBC-4E90-925B-B737C48A7D28}" name="-2"/>
    <tableColumn id="16" xr3:uid="{5A976D79-2EDC-4F53-8484-6085A68B9969}" name="0"/>
    <tableColumn id="17" xr3:uid="{9B16E203-1A88-45BE-BA01-CF12243081E7}" name="Age"/>
    <tableColumn id="18" xr3:uid="{51FB6F07-2AB7-49E4-BC30-93F2A609FBFC}" name="CF_attrition count"/>
    <tableColumn id="19" xr3:uid="{2FFC5D1A-F290-40C3-99C9-A581CA13B349}" name="CF_attrition counts"/>
    <tableColumn id="20" xr3:uid="{AFDFADC3-0AF0-49A7-BAA9-389D83CAEEDC}" name="CF_attrition rate"/>
    <tableColumn id="21" xr3:uid="{D1232C2E-73BA-45EA-B847-3F1615A000FB}" name="CF_current Employee"/>
    <tableColumn id="22" xr3:uid="{5C2C78BD-257C-4FBE-8CB8-65A0276F94C9}" name="Daily Rate"/>
    <tableColumn id="23" xr3:uid="{349835F9-0CA3-4E7C-87BE-5F8A19F16781}" name="Distance From Home"/>
    <tableColumn id="24" xr3:uid="{8BCB8125-E537-42C8-9BC0-A2BA99F7E317}" name="Education"/>
    <tableColumn id="25" xr3:uid="{ECC20F6B-4D0F-489E-A663-1B0FE0914343}" name="Employee Count"/>
    <tableColumn id="26" xr3:uid="{9FD5755E-49F8-4DAF-96E5-63EBA21BC846}" name="Environment Satisfaction"/>
    <tableColumn id="27" xr3:uid="{5A9CA471-D383-49B0-BAA1-D0E8891064FF}" name="Hourly Rate"/>
    <tableColumn id="28" xr3:uid="{85F6FEFF-66DC-4B49-B1D2-518C6E5C0B51}" name="Job Involvement"/>
    <tableColumn id="29" xr3:uid="{2E284744-5EB9-41E6-BD39-9C0F5B709F52}" name="Job Level"/>
    <tableColumn id="30" xr3:uid="{D96B32E1-EC92-45A7-BFDB-F9D627986405}" name="Job Satisfaction"/>
    <tableColumn id="31" xr3:uid="{3B8C4DAC-1467-45FC-848E-9566F039C0F0}" name="Monthly Income"/>
    <tableColumn id="32" xr3:uid="{69EED3D4-B7DB-4C58-8A28-6F431057A71D}" name="Monthly Rate"/>
    <tableColumn id="33" xr3:uid="{B4622E08-3303-4D5D-AED8-BB015103DF96}" name="Num Companies Worked"/>
    <tableColumn id="34" xr3:uid="{998898E7-2C8D-45E9-8938-CB9CAD5EA3A0}" name="Percent Salary Hike"/>
    <tableColumn id="35" xr3:uid="{D296CEA7-F6C3-48F4-86C1-6641CDDCED5B}" name="Performance Rating"/>
    <tableColumn id="36" xr3:uid="{328D6D56-5BA1-4663-977F-4A1C56C2AEDD}" name="Relationship Satisfaction"/>
    <tableColumn id="37" xr3:uid="{C1D161AD-7C2D-49CF-AF0A-EAE6167FD329}" name="Standard Hours"/>
    <tableColumn id="38" xr3:uid="{BD583F6C-9087-40E8-BDA0-F80BBC45E9BB}" name="Stock Option Level"/>
    <tableColumn id="39" xr3:uid="{1BD6B943-2E12-42E6-B98E-2AFEA0676BE7}" name="Total Working Years"/>
    <tableColumn id="40" xr3:uid="{25E775F0-5F62-4BC5-8276-9280E52804CC}" name="Work Life Balance"/>
    <tableColumn id="41" xr3:uid="{CAF08597-944B-4563-B6DE-FF2757E1B8D3}" name="Years At Company"/>
    <tableColumn id="42" xr3:uid="{C7D20B7A-3017-4CF6-B354-906A0254A2E6}" name="Years In Current Role"/>
    <tableColumn id="43" xr3:uid="{7DC72BB9-39AD-4F69-B1F2-A880692ABF75}" name="Years Since Last Promotion"/>
    <tableColumn id="44" xr3:uid="{0EFAC4CE-3D44-4845-9CC7-BFCDB57FAFEA}" name="Years With Curr Manager"/>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75BFB-68C9-4082-B682-3FD35E450AF6}" name="Table3" displayName="Table3" ref="A3:AR285" totalsRowShown="0">
  <autoFilter ref="A3:AR285" xr:uid="{00075BFB-68C9-4082-B682-3FD35E450AF6}"/>
  <tableColumns count="44">
    <tableColumn id="1" xr3:uid="{0C6A2E32-3B35-4426-AD3A-19C3F0DDBA75}" name="Attrition"/>
    <tableColumn id="2" xr3:uid="{5F4FC7E2-B8E3-46C3-9426-A81EE180B948}" name="Business Travel"/>
    <tableColumn id="3" xr3:uid="{262FC3F2-F513-4A4A-8ED4-3022EF69065A}" name="CF_age band"/>
    <tableColumn id="4" xr3:uid="{8FF0E4FB-5F0E-41C1-B646-2B99D8A2E70A}" name="CF_attrition label"/>
    <tableColumn id="5" xr3:uid="{51570147-9930-4791-A94B-9485D8617CB5}" name="Department"/>
    <tableColumn id="6" xr3:uid="{5286330B-2CFA-447A-9FAB-C2EDE5049479}" name="Education Field"/>
    <tableColumn id="7" xr3:uid="{E0779A5E-A696-4656-A441-EB1728BCD40A}" name="emp no"/>
    <tableColumn id="8" xr3:uid="{09021BAD-7078-4658-B4BD-5C0B2973BDD8}" name="Employee Number"/>
    <tableColumn id="9" xr3:uid="{6B97EAF6-3598-4276-82BA-B6A03C4753E7}" name="Gender"/>
    <tableColumn id="10" xr3:uid="{5DEB5678-744D-402F-A643-E12953130DCD}" name="Job Role"/>
    <tableColumn id="11" xr3:uid="{78A513E6-40B6-4EB1-B51B-FAA898DED9AD}" name="Marital Status"/>
    <tableColumn id="12" xr3:uid="{6D7B01A6-B5A7-42EE-99F2-CCCE9B8DF002}" name="Over Time"/>
    <tableColumn id="13" xr3:uid="{49068C30-6E25-48D8-B9AA-170DB023526C}" name="Over18"/>
    <tableColumn id="14" xr3:uid="{8D43FDB1-179B-4302-A78E-44C8D079EB56}" name="Training Times Last Year"/>
    <tableColumn id="15" xr3:uid="{A462DEAC-6BFB-4C19-87E2-CD84E7875785}" name="-2"/>
    <tableColumn id="16" xr3:uid="{7F813566-6DF8-457F-9E63-763D4A84BC81}" name="0"/>
    <tableColumn id="17" xr3:uid="{08ECFD26-8436-443C-B40A-69B6514ADAA6}" name="Age"/>
    <tableColumn id="18" xr3:uid="{9F507EEA-5298-4B5E-9913-B90B07716308}" name="CF_attrition count"/>
    <tableColumn id="19" xr3:uid="{EDA67FF2-A641-4CA9-BEAA-6EF9774BCAE7}" name="CF_attrition counts"/>
    <tableColumn id="20" xr3:uid="{49670430-D0F7-4AF0-823D-657F3B683DAE}" name="CF_attrition rate"/>
    <tableColumn id="21" xr3:uid="{5233CC74-38D3-4C73-9BE6-6A96F2F6C47E}" name="CF_current Employee"/>
    <tableColumn id="22" xr3:uid="{2A48BD74-2193-4273-8F79-FD3F365F386B}" name="Daily Rate"/>
    <tableColumn id="23" xr3:uid="{82BF106A-45D5-41F0-BFB0-6EFAFF72ED35}" name="Distance From Home"/>
    <tableColumn id="24" xr3:uid="{6BD8B23E-8F53-4663-99A5-3EC59EA991E0}" name="Education"/>
    <tableColumn id="25" xr3:uid="{B8323B8F-6A71-4E35-85D1-D3AC4FCF9A31}" name="Employee Count"/>
    <tableColumn id="26" xr3:uid="{9EEA1D18-839D-4F7D-BB2D-51CA0075F05D}" name="Environment Satisfaction"/>
    <tableColumn id="27" xr3:uid="{A1D03473-15CF-4D10-8474-354B1F6E37A5}" name="Hourly Rate"/>
    <tableColumn id="28" xr3:uid="{9BD08411-612A-4E5C-B2D3-6C3BAF3936FE}" name="Job Involvement"/>
    <tableColumn id="29" xr3:uid="{90C63D8C-BA18-48D3-9475-50D1E16C7FBD}" name="Job Level"/>
    <tableColumn id="30" xr3:uid="{4E74E37A-FF25-41DD-BA9A-CAF7EAB54702}" name="Job Satisfaction"/>
    <tableColumn id="31" xr3:uid="{482B9FD1-2040-4265-84A2-E9E213E88109}" name="Monthly Income"/>
    <tableColumn id="32" xr3:uid="{EF925B44-7B16-496D-A2A0-A72F8A5997AE}" name="Monthly Rate"/>
    <tableColumn id="33" xr3:uid="{AF8D84C6-5059-4E1B-B216-568E6FAA61B3}" name="Num Companies Worked"/>
    <tableColumn id="34" xr3:uid="{5DA05931-019F-41B6-A657-E6A1B180C9DC}" name="Percent Salary Hike"/>
    <tableColumn id="35" xr3:uid="{A48708B7-95B9-47CE-B377-A17EC3BE2F81}" name="Performance Rating"/>
    <tableColumn id="36" xr3:uid="{5B61592E-0F20-4DF3-86BB-2E215D2243CE}" name="Relationship Satisfaction"/>
    <tableColumn id="37" xr3:uid="{7D235384-E3B4-4B36-ACBD-01835F483EDD}" name="Standard Hours"/>
    <tableColumn id="38" xr3:uid="{75050E4E-A573-4803-ABEC-47F6595B64C1}" name="Stock Option Level"/>
    <tableColumn id="39" xr3:uid="{BC3A1505-F064-4403-9953-41A5321BDABC}" name="Total Working Years"/>
    <tableColumn id="40" xr3:uid="{F525AFAC-5449-4691-98C0-9FFD67A694DB}" name="Work Life Balance"/>
    <tableColumn id="41" xr3:uid="{490E65CE-128E-4735-BEB3-BC41AE181BD8}" name="Years At Company"/>
    <tableColumn id="42" xr3:uid="{D8BC1456-F5B5-475A-BA95-632C41430B0E}" name="Years In Current Role"/>
    <tableColumn id="43" xr3:uid="{FBBDF2AD-FA1B-4DD7-BD4C-5D19B0A40E93}" name="Years Since Last Promotion"/>
    <tableColumn id="44" xr3:uid="{4F26728E-DE68-4A3E-AD23-5DAD1146F608}" name="Years With Curr Manager"/>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94D51-2E34-4E39-88E0-0EBAB1AC23B6}">
  <dimension ref="A1"/>
  <sheetViews>
    <sheetView tabSelected="1" zoomScale="41" workbookViewId="0">
      <selection activeCell="AC29" sqref="AC29"/>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9E0F9-E780-43C3-BB1B-B05671E8FA77}">
  <dimension ref="A3:E8"/>
  <sheetViews>
    <sheetView workbookViewId="0">
      <selection activeCell="A7" sqref="A7"/>
    </sheetView>
  </sheetViews>
  <sheetFormatPr defaultRowHeight="15.6" x14ac:dyDescent="0.3"/>
  <cols>
    <col min="1" max="2" width="22.796875" bestFit="1" customWidth="1"/>
    <col min="3" max="3" width="13.5" bestFit="1" customWidth="1"/>
    <col min="4" max="4" width="15.59765625" bestFit="1" customWidth="1"/>
    <col min="5" max="5" width="12" bestFit="1" customWidth="1"/>
  </cols>
  <sheetData>
    <row r="3" spans="1:5" x14ac:dyDescent="0.3">
      <c r="A3" s="2" t="s">
        <v>1557</v>
      </c>
      <c r="B3" s="9" t="s">
        <v>1559</v>
      </c>
      <c r="C3" s="8" t="s">
        <v>1560</v>
      </c>
    </row>
    <row r="4" spans="1:5" x14ac:dyDescent="0.3">
      <c r="A4" s="20">
        <v>446</v>
      </c>
      <c r="B4" s="21">
        <v>92</v>
      </c>
      <c r="C4" s="10">
        <v>36.542600896860989</v>
      </c>
    </row>
    <row r="7" spans="1:5" x14ac:dyDescent="0.3">
      <c r="A7" t="s">
        <v>1561</v>
      </c>
      <c r="B7" t="s">
        <v>1562</v>
      </c>
      <c r="C7" t="s">
        <v>1563</v>
      </c>
      <c r="D7" t="s">
        <v>1564</v>
      </c>
      <c r="E7" t="s">
        <v>1565</v>
      </c>
    </row>
    <row r="8" spans="1:5" x14ac:dyDescent="0.3">
      <c r="A8">
        <f>GETPIVOTDATA("Count of Employee Count",$A$3)</f>
        <v>446</v>
      </c>
      <c r="B8">
        <f>GETPIVOTDATA("Sum of CF_attrition count",$A$3)</f>
        <v>92</v>
      </c>
      <c r="C8" s="11">
        <f>GETPIVOTDATA("Average of Age",$A$3)</f>
        <v>36.542600896860989</v>
      </c>
      <c r="D8">
        <f>A8-B8</f>
        <v>354</v>
      </c>
      <c r="E8" s="13">
        <f>(B8/A8)</f>
        <v>0.20627802690582961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EB2A5-A9E7-4C99-80A6-FDE367F7872A}">
  <dimension ref="A3:B7"/>
  <sheetViews>
    <sheetView workbookViewId="0">
      <selection activeCell="J12" sqref="G8:J12"/>
    </sheetView>
  </sheetViews>
  <sheetFormatPr defaultRowHeight="15.6" x14ac:dyDescent="0.3"/>
  <cols>
    <col min="1" max="1" width="23.59765625" bestFit="1" customWidth="1"/>
  </cols>
  <sheetData>
    <row r="3" spans="1:2" x14ac:dyDescent="0.3">
      <c r="A3" s="3" t="s">
        <v>1566</v>
      </c>
    </row>
    <row r="4" spans="1:2" x14ac:dyDescent="0.3">
      <c r="A4" s="19">
        <v>2.3696498054474708</v>
      </c>
    </row>
    <row r="6" spans="1:2" x14ac:dyDescent="0.3">
      <c r="A6" t="s">
        <v>1567</v>
      </c>
      <c r="B6">
        <f>GETPIVOTDATA("Job Satisfaction",$A$3)</f>
        <v>2.3696498054474708</v>
      </c>
    </row>
    <row r="7" spans="1:2" x14ac:dyDescent="0.3">
      <c r="A7" t="s">
        <v>1568</v>
      </c>
      <c r="B7">
        <f>4-GETPIVOTDATA("Job Satisfaction",$A$3)</f>
        <v>1.6303501945525292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31290-466B-460A-AEB4-815254002E9A}">
  <dimension ref="A3:C10"/>
  <sheetViews>
    <sheetView workbookViewId="0">
      <selection activeCell="B4" sqref="B4"/>
    </sheetView>
  </sheetViews>
  <sheetFormatPr defaultRowHeight="15.6" x14ac:dyDescent="0.3"/>
  <cols>
    <col min="1" max="1" width="12.19921875" bestFit="1" customWidth="1"/>
    <col min="2" max="2" width="21.296875" bestFit="1" customWidth="1"/>
  </cols>
  <sheetData>
    <row r="3" spans="1:3" x14ac:dyDescent="0.3">
      <c r="A3" s="4" t="s">
        <v>1555</v>
      </c>
      <c r="B3" s="3" t="s">
        <v>1554</v>
      </c>
    </row>
    <row r="4" spans="1:3" x14ac:dyDescent="0.3">
      <c r="A4" s="5" t="s">
        <v>62</v>
      </c>
      <c r="B4" s="3">
        <v>257</v>
      </c>
    </row>
    <row r="5" spans="1:3" x14ac:dyDescent="0.3">
      <c r="A5" s="7" t="s">
        <v>1556</v>
      </c>
      <c r="B5" s="19">
        <v>257</v>
      </c>
    </row>
    <row r="8" spans="1:3" x14ac:dyDescent="0.3">
      <c r="C8" t="s">
        <v>1569</v>
      </c>
    </row>
    <row r="9" spans="1:3" x14ac:dyDescent="0.3">
      <c r="A9" s="14" t="s">
        <v>51</v>
      </c>
      <c r="B9">
        <f>IFERROR(GETPIVOTDATA("Employee Count",$A$3,"Gender","Female"),0)</f>
        <v>0</v>
      </c>
      <c r="C9" s="12">
        <f>IFERROR(B9/(B9+B10),0)</f>
        <v>0</v>
      </c>
    </row>
    <row r="10" spans="1:3" x14ac:dyDescent="0.3">
      <c r="A10" s="14" t="s">
        <v>62</v>
      </c>
      <c r="B10">
        <f>IFERROR(GETPIVOTDATA("Employee Count",$A$3,"Gender","Male"),0)</f>
        <v>257</v>
      </c>
      <c r="C10" s="12">
        <f>IFERROR(B10/(B10+B9),0)</f>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F4138-21AA-4ACA-89E5-43AE95CA2444}">
  <dimension ref="A3:B9"/>
  <sheetViews>
    <sheetView workbookViewId="0">
      <selection activeCell="D25" sqref="D25:E29"/>
    </sheetView>
  </sheetViews>
  <sheetFormatPr defaultRowHeight="15.6" x14ac:dyDescent="0.3"/>
  <cols>
    <col min="1" max="1" width="15.09765625" bestFit="1" customWidth="1"/>
    <col min="2" max="2" width="22.796875" bestFit="1" customWidth="1"/>
  </cols>
  <sheetData>
    <row r="3" spans="1:2" x14ac:dyDescent="0.3">
      <c r="A3" s="4" t="s">
        <v>1555</v>
      </c>
      <c r="B3" s="3" t="s">
        <v>1559</v>
      </c>
    </row>
    <row r="4" spans="1:2" x14ac:dyDescent="0.3">
      <c r="A4" s="5" t="s">
        <v>49</v>
      </c>
      <c r="B4" s="3">
        <v>29</v>
      </c>
    </row>
    <row r="5" spans="1:2" x14ac:dyDescent="0.3">
      <c r="A5" s="6" t="s">
        <v>106</v>
      </c>
      <c r="B5" s="18">
        <v>35</v>
      </c>
    </row>
    <row r="6" spans="1:2" x14ac:dyDescent="0.3">
      <c r="A6" s="6" t="s">
        <v>72</v>
      </c>
      <c r="B6" s="18">
        <v>14</v>
      </c>
    </row>
    <row r="7" spans="1:2" x14ac:dyDescent="0.3">
      <c r="A7" s="6" t="s">
        <v>66</v>
      </c>
      <c r="B7" s="18">
        <v>4</v>
      </c>
    </row>
    <row r="8" spans="1:2" x14ac:dyDescent="0.3">
      <c r="A8" s="6" t="s">
        <v>113</v>
      </c>
      <c r="B8" s="18">
        <v>10</v>
      </c>
    </row>
    <row r="9" spans="1:2" x14ac:dyDescent="0.3">
      <c r="A9" s="7" t="s">
        <v>1556</v>
      </c>
      <c r="B9" s="19">
        <v>92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2A0CA-2B92-4988-9776-54999E95EBE3}">
  <dimension ref="A3:B5"/>
  <sheetViews>
    <sheetView workbookViewId="0">
      <selection activeCell="A4" sqref="A4:A6"/>
      <pivotSelection pane="bottomRight" showHeader="1" activeRow="3" click="1" r:id="rId1">
        <pivotArea dataOnly="0" labelOnly="1" fieldPosition="0">
          <references count="1">
            <reference field="4" count="0"/>
          </references>
        </pivotArea>
      </pivotSelection>
    </sheetView>
  </sheetViews>
  <sheetFormatPr defaultRowHeight="15.6" x14ac:dyDescent="0.3"/>
  <cols>
    <col min="1" max="1" width="12.19921875" bestFit="1" customWidth="1"/>
    <col min="2" max="2" width="22.796875" bestFit="1" customWidth="1"/>
  </cols>
  <sheetData>
    <row r="3" spans="1:2" x14ac:dyDescent="0.3">
      <c r="A3" s="4" t="s">
        <v>1555</v>
      </c>
      <c r="B3" s="3" t="s">
        <v>1559</v>
      </c>
    </row>
    <row r="4" spans="1:2" x14ac:dyDescent="0.3">
      <c r="A4" s="5" t="s">
        <v>48</v>
      </c>
      <c r="B4" s="16">
        <v>1</v>
      </c>
    </row>
    <row r="5" spans="1:2" x14ac:dyDescent="0.3">
      <c r="A5" s="7" t="s">
        <v>1556</v>
      </c>
      <c r="B5" s="17">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7BD19-4675-48B9-9EA3-DE9D4C006591}">
  <dimension ref="A3:E7"/>
  <sheetViews>
    <sheetView workbookViewId="0">
      <selection activeCell="D9" sqref="D9"/>
    </sheetView>
  </sheetViews>
  <sheetFormatPr defaultRowHeight="15.6" x14ac:dyDescent="0.3"/>
  <cols>
    <col min="1" max="1" width="18.3984375" bestFit="1" customWidth="1"/>
    <col min="2" max="2" width="22.796875" bestFit="1" customWidth="1"/>
    <col min="4" max="4" width="23.296875" bestFit="1" customWidth="1"/>
  </cols>
  <sheetData>
    <row r="3" spans="1:5" x14ac:dyDescent="0.3">
      <c r="A3" s="4" t="s">
        <v>1555</v>
      </c>
      <c r="B3" s="3" t="s">
        <v>1559</v>
      </c>
      <c r="D3" t="s">
        <v>1570</v>
      </c>
      <c r="E3" t="s">
        <v>1571</v>
      </c>
    </row>
    <row r="4" spans="1:5" x14ac:dyDescent="0.3">
      <c r="A4" s="5" t="s">
        <v>95</v>
      </c>
      <c r="B4" s="3">
        <v>2</v>
      </c>
      <c r="D4" t="str">
        <f>A4</f>
        <v>Manager</v>
      </c>
      <c r="E4">
        <f>GETPIVOTDATA("CF_attrition count",$A$3,"Job Role",A4)</f>
        <v>2</v>
      </c>
    </row>
    <row r="5" spans="1:5" x14ac:dyDescent="0.3">
      <c r="A5" s="6" t="s">
        <v>52</v>
      </c>
      <c r="B5" s="18">
        <v>57</v>
      </c>
      <c r="D5" t="str">
        <f>A5</f>
        <v>Sales Executive</v>
      </c>
      <c r="E5">
        <f t="shared" ref="E5:E7" si="0">GETPIVOTDATA("CF_attrition count",$A$3,"Job Role",A5)</f>
        <v>57</v>
      </c>
    </row>
    <row r="6" spans="1:5" x14ac:dyDescent="0.3">
      <c r="A6" s="6" t="s">
        <v>99</v>
      </c>
      <c r="B6" s="18">
        <v>33</v>
      </c>
      <c r="D6" t="str">
        <f>A6</f>
        <v>Sales Representative</v>
      </c>
      <c r="E6">
        <f t="shared" si="0"/>
        <v>33</v>
      </c>
    </row>
    <row r="7" spans="1:5" x14ac:dyDescent="0.3">
      <c r="A7" s="7" t="s">
        <v>1556</v>
      </c>
      <c r="B7" s="19">
        <v>92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9AB2B-B5F9-4ED2-93E3-58738FBCA28D}">
  <dimension ref="A3:B9"/>
  <sheetViews>
    <sheetView workbookViewId="0">
      <selection activeCell="A7" sqref="A4:A8"/>
    </sheetView>
  </sheetViews>
  <sheetFormatPr defaultRowHeight="15.6" x14ac:dyDescent="0.3"/>
  <cols>
    <col min="1" max="1" width="12.19921875" bestFit="1" customWidth="1"/>
    <col min="2" max="2" width="22.796875" bestFit="1" customWidth="1"/>
  </cols>
  <sheetData>
    <row r="3" spans="1:2" x14ac:dyDescent="0.3">
      <c r="A3" s="4" t="s">
        <v>1555</v>
      </c>
      <c r="B3" s="3" t="s">
        <v>1559</v>
      </c>
    </row>
    <row r="4" spans="1:2" x14ac:dyDescent="0.3">
      <c r="A4" s="5" t="s">
        <v>75</v>
      </c>
      <c r="B4" s="3">
        <v>2</v>
      </c>
    </row>
    <row r="5" spans="1:2" x14ac:dyDescent="0.3">
      <c r="A5" s="6" t="s">
        <v>92</v>
      </c>
      <c r="B5" s="18">
        <v>14</v>
      </c>
    </row>
    <row r="6" spans="1:2" x14ac:dyDescent="0.3">
      <c r="A6" s="6" t="s">
        <v>58</v>
      </c>
      <c r="B6" s="18">
        <v>17</v>
      </c>
    </row>
    <row r="7" spans="1:2" x14ac:dyDescent="0.3">
      <c r="A7" s="6" t="s">
        <v>46</v>
      </c>
      <c r="B7" s="18">
        <v>20</v>
      </c>
    </row>
    <row r="8" spans="1:2" x14ac:dyDescent="0.3">
      <c r="A8" s="6" t="s">
        <v>69</v>
      </c>
      <c r="B8" s="18">
        <v>39</v>
      </c>
    </row>
    <row r="9" spans="1:2" x14ac:dyDescent="0.3">
      <c r="A9" s="7" t="s">
        <v>1556</v>
      </c>
      <c r="B9" s="19">
        <v>92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34C87-B64D-4929-8F64-9E5360E5F174}">
  <dimension ref="A3:D7"/>
  <sheetViews>
    <sheetView workbookViewId="0">
      <selection activeCell="A5" sqref="A5:B5"/>
      <pivotSelection pane="bottomRight" showHeader="1" extendable="1" axis="axisRow" start="1" max="4" activeRow="4" previousRow="4" click="1" r:id="rId1">
        <pivotArea dataOnly="0" fieldPosition="0">
          <references count="1">
            <reference field="10" count="1">
              <x v="2"/>
            </reference>
          </references>
        </pivotArea>
      </pivotSelection>
    </sheetView>
  </sheetViews>
  <sheetFormatPr defaultRowHeight="15.6" x14ac:dyDescent="0.3"/>
  <cols>
    <col min="1" max="1" width="12.19921875" bestFit="1" customWidth="1"/>
    <col min="2" max="2" width="16" bestFit="1" customWidth="1"/>
  </cols>
  <sheetData>
    <row r="3" spans="1:4" x14ac:dyDescent="0.3">
      <c r="A3" s="4" t="s">
        <v>1555</v>
      </c>
      <c r="B3" s="3" t="s">
        <v>1558</v>
      </c>
    </row>
    <row r="4" spans="1:4" x14ac:dyDescent="0.3">
      <c r="A4" s="5" t="s">
        <v>79</v>
      </c>
      <c r="B4" s="3">
        <v>87</v>
      </c>
      <c r="D4">
        <f>GETPIVOTDATA("Attrition",$A$3,"Marital Status",A4)</f>
        <v>87</v>
      </c>
    </row>
    <row r="5" spans="1:4" x14ac:dyDescent="0.3">
      <c r="A5" s="6" t="s">
        <v>53</v>
      </c>
      <c r="B5" s="18">
        <v>153</v>
      </c>
      <c r="D5">
        <f>GETPIVOTDATA("Attrition",$A$3,"Marital Status",A5)</f>
        <v>153</v>
      </c>
    </row>
    <row r="6" spans="1:4" x14ac:dyDescent="0.3">
      <c r="A6" s="6" t="s">
        <v>64</v>
      </c>
      <c r="B6" s="18">
        <v>206</v>
      </c>
      <c r="D6">
        <f>GETPIVOTDATA("Attrition",$A$3,"Marital Status",A6)</f>
        <v>206</v>
      </c>
    </row>
    <row r="7" spans="1:4" x14ac:dyDescent="0.3">
      <c r="A7" s="7" t="s">
        <v>1556</v>
      </c>
      <c r="B7" s="19">
        <v>446</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17EEE-868D-4CED-8580-93C997630B1A}">
  <dimension ref="A3:B9"/>
  <sheetViews>
    <sheetView workbookViewId="0">
      <selection activeCell="H1" sqref="H1:H1048576"/>
    </sheetView>
  </sheetViews>
  <sheetFormatPr defaultRowHeight="15.6" x14ac:dyDescent="0.3"/>
  <cols>
    <col min="1" max="2" width="16" bestFit="1" customWidth="1"/>
  </cols>
  <sheetData>
    <row r="3" spans="1:2" x14ac:dyDescent="0.3">
      <c r="A3" s="4" t="s">
        <v>1555</v>
      </c>
      <c r="B3" s="3" t="s">
        <v>1558</v>
      </c>
    </row>
    <row r="4" spans="1:2" x14ac:dyDescent="0.3">
      <c r="A4" s="5" t="s">
        <v>134</v>
      </c>
      <c r="B4" s="3">
        <v>15</v>
      </c>
    </row>
    <row r="5" spans="1:2" x14ac:dyDescent="0.3">
      <c r="A5" s="6" t="s">
        <v>65</v>
      </c>
      <c r="B5" s="18">
        <v>50</v>
      </c>
    </row>
    <row r="6" spans="1:2" x14ac:dyDescent="0.3">
      <c r="A6" s="6" t="s">
        <v>55</v>
      </c>
      <c r="B6" s="18">
        <v>87</v>
      </c>
    </row>
    <row r="7" spans="1:2" x14ac:dyDescent="0.3">
      <c r="A7" s="6" t="s">
        <v>71</v>
      </c>
      <c r="B7" s="18">
        <v>128</v>
      </c>
    </row>
    <row r="8" spans="1:2" x14ac:dyDescent="0.3">
      <c r="A8" s="6" t="s">
        <v>77</v>
      </c>
      <c r="B8" s="18">
        <v>166</v>
      </c>
    </row>
    <row r="9" spans="1:2" x14ac:dyDescent="0.3">
      <c r="A9" s="7" t="s">
        <v>1556</v>
      </c>
      <c r="B9" s="19">
        <v>446</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B4800-FAA2-4A38-B8F3-D6BAB1152E8E}">
  <dimension ref="A1:AR66"/>
  <sheetViews>
    <sheetView topLeftCell="B9" workbookViewId="0">
      <selection sqref="A1:XFD1048576"/>
    </sheetView>
  </sheetViews>
  <sheetFormatPr defaultRowHeight="15.6" x14ac:dyDescent="0.3"/>
  <cols>
    <col min="1" max="1" width="10.09765625" bestFit="1" customWidth="1"/>
    <col min="2" max="2" width="16.09765625" bestFit="1" customWidth="1"/>
    <col min="3" max="3" width="13.59765625" bestFit="1" customWidth="1"/>
    <col min="4" max="4" width="17.59765625" bestFit="1" customWidth="1"/>
    <col min="5" max="5" width="13" bestFit="1" customWidth="1"/>
    <col min="6" max="6" width="15.8984375" bestFit="1" customWidth="1"/>
    <col min="7" max="7" width="10.3984375" bestFit="1" customWidth="1"/>
    <col min="8" max="8" width="18.5" bestFit="1" customWidth="1"/>
    <col min="9" max="9" width="9.09765625" bestFit="1" customWidth="1"/>
    <col min="10" max="10" width="15.8984375" bestFit="1" customWidth="1"/>
    <col min="11" max="11" width="14.69921875" bestFit="1" customWidth="1"/>
    <col min="12" max="12" width="11.3984375" bestFit="1" customWidth="1"/>
    <col min="13" max="13" width="8.8984375" bestFit="1" customWidth="1"/>
    <col min="14" max="14" width="23.3984375" bestFit="1" customWidth="1"/>
    <col min="15" max="17" width="8.8984375" bestFit="1" customWidth="1"/>
    <col min="18" max="18" width="18.296875" bestFit="1" customWidth="1"/>
    <col min="19" max="19" width="19.19921875" bestFit="1" customWidth="1"/>
    <col min="20" max="20" width="16.8984375" bestFit="1" customWidth="1"/>
    <col min="21" max="21" width="20.8984375" bestFit="1" customWidth="1"/>
    <col min="22" max="22" width="11.296875" bestFit="1" customWidth="1"/>
    <col min="23" max="23" width="20.3984375" bestFit="1" customWidth="1"/>
    <col min="24" max="24" width="16" bestFit="1" customWidth="1"/>
    <col min="25" max="25" width="16.796875" bestFit="1" customWidth="1"/>
    <col min="26" max="26" width="24.19921875" bestFit="1" customWidth="1"/>
    <col min="27" max="27" width="12.69921875" bestFit="1" customWidth="1"/>
    <col min="28" max="28" width="16.69921875" bestFit="1" customWidth="1"/>
    <col min="29" max="29" width="10.3984375" bestFit="1" customWidth="1"/>
    <col min="30" max="30" width="16" bestFit="1" customWidth="1"/>
    <col min="31" max="31" width="16.69921875" bestFit="1" customWidth="1"/>
    <col min="32" max="32" width="14.296875" bestFit="1" customWidth="1"/>
    <col min="33" max="33" width="24.09765625" bestFit="1" customWidth="1"/>
    <col min="34" max="34" width="18.8984375" bestFit="1" customWidth="1"/>
    <col min="35" max="35" width="19.5" bestFit="1" customWidth="1"/>
    <col min="36" max="36" width="23.8984375" bestFit="1" customWidth="1"/>
    <col min="37" max="37" width="16" bestFit="1" customWidth="1"/>
    <col min="38" max="38" width="18.3984375" bestFit="1" customWidth="1"/>
    <col min="39" max="39" width="19.8984375" bestFit="1" customWidth="1"/>
    <col min="40" max="40" width="17.8984375" bestFit="1" customWidth="1"/>
    <col min="41" max="41" width="18.296875" bestFit="1" customWidth="1"/>
    <col min="42" max="42" width="20.796875" bestFit="1" customWidth="1"/>
    <col min="43" max="43" width="25.69921875" bestFit="1" customWidth="1"/>
    <col min="44" max="44" width="24.296875" bestFit="1" customWidth="1"/>
  </cols>
  <sheetData>
    <row r="1" spans="1:44" x14ac:dyDescent="0.3">
      <c r="A1" s="15" t="s">
        <v>1572</v>
      </c>
    </row>
    <row r="3" spans="1:44"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24</v>
      </c>
      <c r="Z3" t="s">
        <v>25</v>
      </c>
      <c r="AA3" t="s">
        <v>26</v>
      </c>
      <c r="AB3" t="s">
        <v>27</v>
      </c>
      <c r="AC3" t="s">
        <v>28</v>
      </c>
      <c r="AD3" t="s">
        <v>29</v>
      </c>
      <c r="AE3" t="s">
        <v>30</v>
      </c>
      <c r="AF3" t="s">
        <v>31</v>
      </c>
      <c r="AG3" t="s">
        <v>32</v>
      </c>
      <c r="AH3" t="s">
        <v>33</v>
      </c>
      <c r="AI3" t="s">
        <v>34</v>
      </c>
      <c r="AJ3" t="s">
        <v>35</v>
      </c>
      <c r="AK3" t="s">
        <v>36</v>
      </c>
      <c r="AL3" t="s">
        <v>37</v>
      </c>
      <c r="AM3" t="s">
        <v>38</v>
      </c>
      <c r="AN3" t="s">
        <v>39</v>
      </c>
      <c r="AO3" t="s">
        <v>40</v>
      </c>
      <c r="AP3" t="s">
        <v>41</v>
      </c>
      <c r="AQ3" t="s">
        <v>42</v>
      </c>
      <c r="AR3" t="s">
        <v>43</v>
      </c>
    </row>
    <row r="4" spans="1:44" x14ac:dyDescent="0.3">
      <c r="A4" t="s">
        <v>44</v>
      </c>
      <c r="B4" t="s">
        <v>45</v>
      </c>
      <c r="C4" t="s">
        <v>69</v>
      </c>
      <c r="D4" t="s">
        <v>47</v>
      </c>
      <c r="E4" t="s">
        <v>161</v>
      </c>
      <c r="F4" t="s">
        <v>163</v>
      </c>
      <c r="G4" t="s">
        <v>1532</v>
      </c>
      <c r="H4">
        <v>1844</v>
      </c>
      <c r="I4" t="s">
        <v>62</v>
      </c>
      <c r="J4" t="s">
        <v>163</v>
      </c>
      <c r="K4" t="s">
        <v>79</v>
      </c>
      <c r="L4" t="s">
        <v>44</v>
      </c>
      <c r="M4" t="s">
        <v>54</v>
      </c>
      <c r="N4">
        <v>3</v>
      </c>
      <c r="O4">
        <v>-2</v>
      </c>
      <c r="P4">
        <v>0</v>
      </c>
      <c r="Q4">
        <v>29</v>
      </c>
      <c r="R4">
        <v>1</v>
      </c>
      <c r="S4">
        <v>1</v>
      </c>
      <c r="T4">
        <v>1</v>
      </c>
      <c r="U4">
        <v>0</v>
      </c>
      <c r="V4">
        <v>350</v>
      </c>
      <c r="W4">
        <v>13</v>
      </c>
      <c r="X4" t="s">
        <v>77</v>
      </c>
      <c r="Y4">
        <v>1</v>
      </c>
      <c r="Z4">
        <v>1</v>
      </c>
      <c r="AA4">
        <v>56</v>
      </c>
      <c r="AB4">
        <v>2</v>
      </c>
      <c r="AC4">
        <v>1</v>
      </c>
      <c r="AD4">
        <v>1</v>
      </c>
      <c r="AE4">
        <v>2335</v>
      </c>
      <c r="AF4">
        <v>3157</v>
      </c>
      <c r="AG4">
        <v>4</v>
      </c>
      <c r="AH4">
        <v>15</v>
      </c>
      <c r="AI4">
        <v>3</v>
      </c>
      <c r="AJ4">
        <v>4</v>
      </c>
      <c r="AK4">
        <v>80</v>
      </c>
      <c r="AL4">
        <v>3</v>
      </c>
      <c r="AM4">
        <v>4</v>
      </c>
      <c r="AN4">
        <v>3</v>
      </c>
      <c r="AO4">
        <v>2</v>
      </c>
      <c r="AP4">
        <v>2</v>
      </c>
      <c r="AQ4">
        <v>2</v>
      </c>
      <c r="AR4">
        <v>0</v>
      </c>
    </row>
    <row r="5" spans="1:44" x14ac:dyDescent="0.3">
      <c r="A5" t="s">
        <v>44</v>
      </c>
      <c r="B5" t="s">
        <v>45</v>
      </c>
      <c r="C5" t="s">
        <v>69</v>
      </c>
      <c r="D5" t="s">
        <v>47</v>
      </c>
      <c r="E5" t="s">
        <v>161</v>
      </c>
      <c r="F5" t="s">
        <v>72</v>
      </c>
      <c r="G5" t="s">
        <v>1523</v>
      </c>
      <c r="H5">
        <v>1818</v>
      </c>
      <c r="I5" t="s">
        <v>51</v>
      </c>
      <c r="J5" t="s">
        <v>163</v>
      </c>
      <c r="K5" t="s">
        <v>64</v>
      </c>
      <c r="L5" t="s">
        <v>44</v>
      </c>
      <c r="M5" t="s">
        <v>54</v>
      </c>
      <c r="N5">
        <v>3</v>
      </c>
      <c r="O5">
        <v>-2</v>
      </c>
      <c r="P5">
        <v>0</v>
      </c>
      <c r="Q5">
        <v>26</v>
      </c>
      <c r="R5">
        <v>1</v>
      </c>
      <c r="S5">
        <v>1</v>
      </c>
      <c r="T5">
        <v>1</v>
      </c>
      <c r="U5">
        <v>0</v>
      </c>
      <c r="V5">
        <v>920</v>
      </c>
      <c r="W5">
        <v>20</v>
      </c>
      <c r="X5" t="s">
        <v>55</v>
      </c>
      <c r="Y5">
        <v>1</v>
      </c>
      <c r="Z5">
        <v>4</v>
      </c>
      <c r="AA5">
        <v>69</v>
      </c>
      <c r="AB5">
        <v>3</v>
      </c>
      <c r="AC5">
        <v>1</v>
      </c>
      <c r="AD5">
        <v>2</v>
      </c>
      <c r="AE5">
        <v>2148</v>
      </c>
      <c r="AF5">
        <v>6889</v>
      </c>
      <c r="AG5">
        <v>0</v>
      </c>
      <c r="AH5">
        <v>11</v>
      </c>
      <c r="AI5">
        <v>3</v>
      </c>
      <c r="AJ5">
        <v>3</v>
      </c>
      <c r="AK5">
        <v>80</v>
      </c>
      <c r="AL5">
        <v>0</v>
      </c>
      <c r="AM5">
        <v>6</v>
      </c>
      <c r="AN5">
        <v>3</v>
      </c>
      <c r="AO5">
        <v>5</v>
      </c>
      <c r="AP5">
        <v>1</v>
      </c>
      <c r="AQ5">
        <v>1</v>
      </c>
      <c r="AR5">
        <v>4</v>
      </c>
    </row>
    <row r="6" spans="1:44" x14ac:dyDescent="0.3">
      <c r="A6" t="s">
        <v>44</v>
      </c>
      <c r="B6" t="s">
        <v>45</v>
      </c>
      <c r="C6" t="s">
        <v>92</v>
      </c>
      <c r="D6" t="s">
        <v>47</v>
      </c>
      <c r="E6" t="s">
        <v>161</v>
      </c>
      <c r="F6" t="s">
        <v>163</v>
      </c>
      <c r="G6" t="s">
        <v>1502</v>
      </c>
      <c r="H6">
        <v>1714</v>
      </c>
      <c r="I6" t="s">
        <v>62</v>
      </c>
      <c r="J6" t="s">
        <v>163</v>
      </c>
      <c r="K6" t="s">
        <v>64</v>
      </c>
      <c r="L6" t="s">
        <v>56</v>
      </c>
      <c r="M6" t="s">
        <v>54</v>
      </c>
      <c r="N6">
        <v>2</v>
      </c>
      <c r="O6">
        <v>-2</v>
      </c>
      <c r="P6">
        <v>0</v>
      </c>
      <c r="Q6">
        <v>24</v>
      </c>
      <c r="R6">
        <v>1</v>
      </c>
      <c r="S6">
        <v>1</v>
      </c>
      <c r="T6">
        <v>1</v>
      </c>
      <c r="U6">
        <v>0</v>
      </c>
      <c r="V6">
        <v>240</v>
      </c>
      <c r="W6">
        <v>22</v>
      </c>
      <c r="X6" t="s">
        <v>65</v>
      </c>
      <c r="Y6">
        <v>1</v>
      </c>
      <c r="Z6">
        <v>4</v>
      </c>
      <c r="AA6">
        <v>58</v>
      </c>
      <c r="AB6">
        <v>1</v>
      </c>
      <c r="AC6">
        <v>1</v>
      </c>
      <c r="AD6">
        <v>3</v>
      </c>
      <c r="AE6">
        <v>1555</v>
      </c>
      <c r="AF6">
        <v>11585</v>
      </c>
      <c r="AG6">
        <v>1</v>
      </c>
      <c r="AH6">
        <v>11</v>
      </c>
      <c r="AI6">
        <v>3</v>
      </c>
      <c r="AJ6">
        <v>3</v>
      </c>
      <c r="AK6">
        <v>80</v>
      </c>
      <c r="AL6">
        <v>1</v>
      </c>
      <c r="AM6">
        <v>1</v>
      </c>
      <c r="AN6">
        <v>3</v>
      </c>
      <c r="AO6">
        <v>1</v>
      </c>
      <c r="AP6">
        <v>0</v>
      </c>
      <c r="AQ6">
        <v>0</v>
      </c>
      <c r="AR6">
        <v>0</v>
      </c>
    </row>
    <row r="7" spans="1:44" x14ac:dyDescent="0.3">
      <c r="A7" t="s">
        <v>44</v>
      </c>
      <c r="B7" t="s">
        <v>45</v>
      </c>
      <c r="C7" t="s">
        <v>69</v>
      </c>
      <c r="D7" t="s">
        <v>47</v>
      </c>
      <c r="E7" t="s">
        <v>161</v>
      </c>
      <c r="F7" t="s">
        <v>163</v>
      </c>
      <c r="G7" t="s">
        <v>1501</v>
      </c>
      <c r="H7">
        <v>1842</v>
      </c>
      <c r="I7" t="s">
        <v>62</v>
      </c>
      <c r="J7" t="s">
        <v>163</v>
      </c>
      <c r="K7" t="s">
        <v>64</v>
      </c>
      <c r="L7" t="s">
        <v>56</v>
      </c>
      <c r="M7" t="s">
        <v>54</v>
      </c>
      <c r="N7">
        <v>4</v>
      </c>
      <c r="O7">
        <v>-2</v>
      </c>
      <c r="P7">
        <v>0</v>
      </c>
      <c r="Q7">
        <v>31</v>
      </c>
      <c r="R7">
        <v>1</v>
      </c>
      <c r="S7">
        <v>1</v>
      </c>
      <c r="T7">
        <v>1</v>
      </c>
      <c r="U7">
        <v>0</v>
      </c>
      <c r="V7">
        <v>359</v>
      </c>
      <c r="W7">
        <v>18</v>
      </c>
      <c r="X7" t="s">
        <v>134</v>
      </c>
      <c r="Y7">
        <v>1</v>
      </c>
      <c r="Z7">
        <v>4</v>
      </c>
      <c r="AA7">
        <v>89</v>
      </c>
      <c r="AB7">
        <v>4</v>
      </c>
      <c r="AC7">
        <v>1</v>
      </c>
      <c r="AD7">
        <v>1</v>
      </c>
      <c r="AE7">
        <v>2956</v>
      </c>
      <c r="AF7">
        <v>21495</v>
      </c>
      <c r="AG7">
        <v>0</v>
      </c>
      <c r="AH7">
        <v>17</v>
      </c>
      <c r="AI7">
        <v>3</v>
      </c>
      <c r="AJ7">
        <v>3</v>
      </c>
      <c r="AK7">
        <v>80</v>
      </c>
      <c r="AL7">
        <v>0</v>
      </c>
      <c r="AM7">
        <v>2</v>
      </c>
      <c r="AN7">
        <v>3</v>
      </c>
      <c r="AO7">
        <v>1</v>
      </c>
      <c r="AP7">
        <v>0</v>
      </c>
      <c r="AQ7">
        <v>0</v>
      </c>
      <c r="AR7">
        <v>0</v>
      </c>
    </row>
    <row r="8" spans="1:44" x14ac:dyDescent="0.3">
      <c r="A8" t="s">
        <v>44</v>
      </c>
      <c r="B8" t="s">
        <v>45</v>
      </c>
      <c r="C8" t="s">
        <v>69</v>
      </c>
      <c r="D8" t="s">
        <v>47</v>
      </c>
      <c r="E8" t="s">
        <v>161</v>
      </c>
      <c r="F8" t="s">
        <v>113</v>
      </c>
      <c r="G8" t="s">
        <v>1490</v>
      </c>
      <c r="H8">
        <v>1467</v>
      </c>
      <c r="I8" t="s">
        <v>51</v>
      </c>
      <c r="J8" t="s">
        <v>163</v>
      </c>
      <c r="K8" t="s">
        <v>64</v>
      </c>
      <c r="L8" t="s">
        <v>56</v>
      </c>
      <c r="M8" t="s">
        <v>54</v>
      </c>
      <c r="N8">
        <v>0</v>
      </c>
      <c r="O8">
        <v>-2</v>
      </c>
      <c r="P8">
        <v>0</v>
      </c>
      <c r="Q8">
        <v>34</v>
      </c>
      <c r="R8">
        <v>1</v>
      </c>
      <c r="S8">
        <v>1</v>
      </c>
      <c r="T8">
        <v>1</v>
      </c>
      <c r="U8">
        <v>0</v>
      </c>
      <c r="V8">
        <v>1107</v>
      </c>
      <c r="W8">
        <v>9</v>
      </c>
      <c r="X8" t="s">
        <v>71</v>
      </c>
      <c r="Y8">
        <v>1</v>
      </c>
      <c r="Z8">
        <v>4</v>
      </c>
      <c r="AA8">
        <v>52</v>
      </c>
      <c r="AB8">
        <v>3</v>
      </c>
      <c r="AC8">
        <v>1</v>
      </c>
      <c r="AD8">
        <v>4</v>
      </c>
      <c r="AE8">
        <v>2742</v>
      </c>
      <c r="AF8">
        <v>3072</v>
      </c>
      <c r="AG8">
        <v>1</v>
      </c>
      <c r="AH8">
        <v>15</v>
      </c>
      <c r="AI8">
        <v>3</v>
      </c>
      <c r="AJ8">
        <v>4</v>
      </c>
      <c r="AK8">
        <v>80</v>
      </c>
      <c r="AL8">
        <v>0</v>
      </c>
      <c r="AM8">
        <v>2</v>
      </c>
      <c r="AN8">
        <v>3</v>
      </c>
      <c r="AO8">
        <v>2</v>
      </c>
      <c r="AP8">
        <v>2</v>
      </c>
      <c r="AQ8">
        <v>2</v>
      </c>
      <c r="AR8">
        <v>2</v>
      </c>
    </row>
    <row r="9" spans="1:44" x14ac:dyDescent="0.3">
      <c r="A9" t="s">
        <v>44</v>
      </c>
      <c r="B9" t="s">
        <v>57</v>
      </c>
      <c r="C9" t="s">
        <v>69</v>
      </c>
      <c r="D9" t="s">
        <v>47</v>
      </c>
      <c r="E9" t="s">
        <v>161</v>
      </c>
      <c r="F9" t="s">
        <v>163</v>
      </c>
      <c r="G9" t="s">
        <v>1485</v>
      </c>
      <c r="H9">
        <v>1944</v>
      </c>
      <c r="I9" t="s">
        <v>51</v>
      </c>
      <c r="J9" t="s">
        <v>163</v>
      </c>
      <c r="K9" t="s">
        <v>64</v>
      </c>
      <c r="L9" t="s">
        <v>56</v>
      </c>
      <c r="M9" t="s">
        <v>54</v>
      </c>
      <c r="N9">
        <v>2</v>
      </c>
      <c r="O9">
        <v>-2</v>
      </c>
      <c r="P9">
        <v>0</v>
      </c>
      <c r="Q9">
        <v>27</v>
      </c>
      <c r="R9">
        <v>1</v>
      </c>
      <c r="S9">
        <v>1</v>
      </c>
      <c r="T9">
        <v>1</v>
      </c>
      <c r="U9">
        <v>0</v>
      </c>
      <c r="V9">
        <v>1337</v>
      </c>
      <c r="W9">
        <v>22</v>
      </c>
      <c r="X9" t="s">
        <v>77</v>
      </c>
      <c r="Y9">
        <v>1</v>
      </c>
      <c r="Z9">
        <v>1</v>
      </c>
      <c r="AA9">
        <v>58</v>
      </c>
      <c r="AB9">
        <v>2</v>
      </c>
      <c r="AC9">
        <v>1</v>
      </c>
      <c r="AD9">
        <v>2</v>
      </c>
      <c r="AE9">
        <v>2863</v>
      </c>
      <c r="AF9">
        <v>19555</v>
      </c>
      <c r="AG9">
        <v>1</v>
      </c>
      <c r="AH9">
        <v>12</v>
      </c>
      <c r="AI9">
        <v>3</v>
      </c>
      <c r="AJ9">
        <v>1</v>
      </c>
      <c r="AK9">
        <v>80</v>
      </c>
      <c r="AL9">
        <v>0</v>
      </c>
      <c r="AM9">
        <v>1</v>
      </c>
      <c r="AN9">
        <v>3</v>
      </c>
      <c r="AO9">
        <v>1</v>
      </c>
      <c r="AP9">
        <v>0</v>
      </c>
      <c r="AQ9">
        <v>0</v>
      </c>
      <c r="AR9">
        <v>0</v>
      </c>
    </row>
    <row r="10" spans="1:44" x14ac:dyDescent="0.3">
      <c r="A10" t="s">
        <v>44</v>
      </c>
      <c r="B10" t="s">
        <v>57</v>
      </c>
      <c r="C10" t="s">
        <v>69</v>
      </c>
      <c r="D10" t="s">
        <v>47</v>
      </c>
      <c r="E10" t="s">
        <v>161</v>
      </c>
      <c r="F10" t="s">
        <v>163</v>
      </c>
      <c r="G10" t="s">
        <v>1484</v>
      </c>
      <c r="H10">
        <v>1747</v>
      </c>
      <c r="I10" t="s">
        <v>51</v>
      </c>
      <c r="J10" t="s">
        <v>163</v>
      </c>
      <c r="K10" t="s">
        <v>79</v>
      </c>
      <c r="L10" t="s">
        <v>56</v>
      </c>
      <c r="M10" t="s">
        <v>54</v>
      </c>
      <c r="N10">
        <v>0</v>
      </c>
      <c r="O10">
        <v>-2</v>
      </c>
      <c r="P10">
        <v>0</v>
      </c>
      <c r="Q10">
        <v>30</v>
      </c>
      <c r="R10">
        <v>1</v>
      </c>
      <c r="S10">
        <v>1</v>
      </c>
      <c r="T10">
        <v>1</v>
      </c>
      <c r="U10">
        <v>0</v>
      </c>
      <c r="V10">
        <v>600</v>
      </c>
      <c r="W10">
        <v>8</v>
      </c>
      <c r="X10" t="s">
        <v>77</v>
      </c>
      <c r="Y10">
        <v>1</v>
      </c>
      <c r="Z10">
        <v>3</v>
      </c>
      <c r="AA10">
        <v>66</v>
      </c>
      <c r="AB10">
        <v>2</v>
      </c>
      <c r="AC10">
        <v>1</v>
      </c>
      <c r="AD10">
        <v>4</v>
      </c>
      <c r="AE10">
        <v>2180</v>
      </c>
      <c r="AF10">
        <v>9732</v>
      </c>
      <c r="AG10">
        <v>6</v>
      </c>
      <c r="AH10">
        <v>11</v>
      </c>
      <c r="AI10">
        <v>3</v>
      </c>
      <c r="AJ10">
        <v>3</v>
      </c>
      <c r="AK10">
        <v>80</v>
      </c>
      <c r="AL10">
        <v>1</v>
      </c>
      <c r="AM10">
        <v>6</v>
      </c>
      <c r="AN10">
        <v>2</v>
      </c>
      <c r="AO10">
        <v>4</v>
      </c>
      <c r="AP10">
        <v>2</v>
      </c>
      <c r="AQ10">
        <v>1</v>
      </c>
      <c r="AR10">
        <v>2</v>
      </c>
    </row>
    <row r="11" spans="1:44" x14ac:dyDescent="0.3">
      <c r="A11" t="s">
        <v>56</v>
      </c>
      <c r="B11" t="s">
        <v>45</v>
      </c>
      <c r="C11" t="s">
        <v>46</v>
      </c>
      <c r="D11" t="s">
        <v>59</v>
      </c>
      <c r="E11" t="s">
        <v>161</v>
      </c>
      <c r="F11" t="s">
        <v>72</v>
      </c>
      <c r="G11" t="s">
        <v>1479</v>
      </c>
      <c r="H11">
        <v>1550</v>
      </c>
      <c r="I11" t="s">
        <v>62</v>
      </c>
      <c r="J11" t="s">
        <v>95</v>
      </c>
      <c r="K11" t="s">
        <v>53</v>
      </c>
      <c r="L11" t="s">
        <v>44</v>
      </c>
      <c r="M11" t="s">
        <v>54</v>
      </c>
      <c r="N11">
        <v>2</v>
      </c>
      <c r="O11">
        <v>-2</v>
      </c>
      <c r="P11">
        <v>0</v>
      </c>
      <c r="Q11">
        <v>40</v>
      </c>
      <c r="R11">
        <v>0</v>
      </c>
      <c r="T11">
        <v>0</v>
      </c>
      <c r="U11">
        <v>1</v>
      </c>
      <c r="V11">
        <v>898</v>
      </c>
      <c r="W11">
        <v>6</v>
      </c>
      <c r="X11" t="s">
        <v>55</v>
      </c>
      <c r="Y11">
        <v>1</v>
      </c>
      <c r="Z11">
        <v>3</v>
      </c>
      <c r="AA11">
        <v>38</v>
      </c>
      <c r="AB11">
        <v>3</v>
      </c>
      <c r="AC11">
        <v>4</v>
      </c>
      <c r="AD11">
        <v>4</v>
      </c>
      <c r="AE11">
        <v>16437</v>
      </c>
      <c r="AF11">
        <v>17381</v>
      </c>
      <c r="AG11">
        <v>1</v>
      </c>
      <c r="AH11">
        <v>21</v>
      </c>
      <c r="AI11">
        <v>4</v>
      </c>
      <c r="AJ11">
        <v>4</v>
      </c>
      <c r="AK11">
        <v>80</v>
      </c>
      <c r="AL11">
        <v>0</v>
      </c>
      <c r="AM11">
        <v>21</v>
      </c>
      <c r="AN11">
        <v>3</v>
      </c>
      <c r="AO11">
        <v>21</v>
      </c>
      <c r="AP11">
        <v>7</v>
      </c>
      <c r="AQ11">
        <v>7</v>
      </c>
      <c r="AR11">
        <v>7</v>
      </c>
    </row>
    <row r="12" spans="1:44" x14ac:dyDescent="0.3">
      <c r="A12" t="s">
        <v>56</v>
      </c>
      <c r="B12" t="s">
        <v>45</v>
      </c>
      <c r="C12" t="s">
        <v>69</v>
      </c>
      <c r="D12" t="s">
        <v>59</v>
      </c>
      <c r="E12" t="s">
        <v>161</v>
      </c>
      <c r="F12" t="s">
        <v>49</v>
      </c>
      <c r="G12" t="s">
        <v>1452</v>
      </c>
      <c r="H12">
        <v>1499</v>
      </c>
      <c r="I12" t="s">
        <v>62</v>
      </c>
      <c r="J12" t="s">
        <v>163</v>
      </c>
      <c r="K12" t="s">
        <v>79</v>
      </c>
      <c r="L12" t="s">
        <v>56</v>
      </c>
      <c r="M12" t="s">
        <v>54</v>
      </c>
      <c r="N12">
        <v>3</v>
      </c>
      <c r="O12">
        <v>-2</v>
      </c>
      <c r="P12">
        <v>0</v>
      </c>
      <c r="Q12">
        <v>30</v>
      </c>
      <c r="R12">
        <v>0</v>
      </c>
      <c r="T12">
        <v>0</v>
      </c>
      <c r="U12">
        <v>1</v>
      </c>
      <c r="V12">
        <v>330</v>
      </c>
      <c r="W12">
        <v>1</v>
      </c>
      <c r="X12" t="s">
        <v>77</v>
      </c>
      <c r="Y12">
        <v>1</v>
      </c>
      <c r="Z12">
        <v>3</v>
      </c>
      <c r="AA12">
        <v>46</v>
      </c>
      <c r="AB12">
        <v>3</v>
      </c>
      <c r="AC12">
        <v>1</v>
      </c>
      <c r="AD12">
        <v>3</v>
      </c>
      <c r="AE12">
        <v>2064</v>
      </c>
      <c r="AF12">
        <v>15428</v>
      </c>
      <c r="AG12">
        <v>0</v>
      </c>
      <c r="AH12">
        <v>21</v>
      </c>
      <c r="AI12">
        <v>4</v>
      </c>
      <c r="AJ12">
        <v>1</v>
      </c>
      <c r="AK12">
        <v>80</v>
      </c>
      <c r="AL12">
        <v>1</v>
      </c>
      <c r="AM12">
        <v>6</v>
      </c>
      <c r="AN12">
        <v>4</v>
      </c>
      <c r="AO12">
        <v>5</v>
      </c>
      <c r="AP12">
        <v>3</v>
      </c>
      <c r="AQ12">
        <v>1</v>
      </c>
      <c r="AR12">
        <v>3</v>
      </c>
    </row>
    <row r="13" spans="1:44" x14ac:dyDescent="0.3">
      <c r="A13" t="s">
        <v>56</v>
      </c>
      <c r="B13" t="s">
        <v>57</v>
      </c>
      <c r="C13" t="s">
        <v>46</v>
      </c>
      <c r="D13" t="s">
        <v>59</v>
      </c>
      <c r="E13" t="s">
        <v>161</v>
      </c>
      <c r="F13" t="s">
        <v>163</v>
      </c>
      <c r="G13" t="s">
        <v>1447</v>
      </c>
      <c r="H13">
        <v>1890</v>
      </c>
      <c r="I13" t="s">
        <v>62</v>
      </c>
      <c r="J13" t="s">
        <v>163</v>
      </c>
      <c r="K13" t="s">
        <v>53</v>
      </c>
      <c r="L13" t="s">
        <v>56</v>
      </c>
      <c r="M13" t="s">
        <v>54</v>
      </c>
      <c r="N13">
        <v>2</v>
      </c>
      <c r="O13">
        <v>-2</v>
      </c>
      <c r="P13">
        <v>0</v>
      </c>
      <c r="Q13">
        <v>36</v>
      </c>
      <c r="R13">
        <v>0</v>
      </c>
      <c r="T13">
        <v>0</v>
      </c>
      <c r="U13">
        <v>1</v>
      </c>
      <c r="V13">
        <v>1213</v>
      </c>
      <c r="W13">
        <v>2</v>
      </c>
      <c r="X13" t="s">
        <v>65</v>
      </c>
      <c r="Y13">
        <v>1</v>
      </c>
      <c r="Z13">
        <v>2</v>
      </c>
      <c r="AA13">
        <v>94</v>
      </c>
      <c r="AB13">
        <v>2</v>
      </c>
      <c r="AC13">
        <v>2</v>
      </c>
      <c r="AD13">
        <v>4</v>
      </c>
      <c r="AE13">
        <v>3886</v>
      </c>
      <c r="AF13">
        <v>4223</v>
      </c>
      <c r="AG13">
        <v>1</v>
      </c>
      <c r="AH13">
        <v>21</v>
      </c>
      <c r="AI13">
        <v>4</v>
      </c>
      <c r="AJ13">
        <v>4</v>
      </c>
      <c r="AK13">
        <v>80</v>
      </c>
      <c r="AL13">
        <v>0</v>
      </c>
      <c r="AM13">
        <v>10</v>
      </c>
      <c r="AN13">
        <v>2</v>
      </c>
      <c r="AO13">
        <v>10</v>
      </c>
      <c r="AP13">
        <v>1</v>
      </c>
      <c r="AQ13">
        <v>0</v>
      </c>
      <c r="AR13">
        <v>8</v>
      </c>
    </row>
    <row r="14" spans="1:44" x14ac:dyDescent="0.3">
      <c r="A14" t="s">
        <v>56</v>
      </c>
      <c r="B14" t="s">
        <v>45</v>
      </c>
      <c r="C14" t="s">
        <v>58</v>
      </c>
      <c r="D14" t="s">
        <v>59</v>
      </c>
      <c r="E14" t="s">
        <v>161</v>
      </c>
      <c r="F14" t="s">
        <v>49</v>
      </c>
      <c r="G14" t="s">
        <v>1428</v>
      </c>
      <c r="H14">
        <v>1744</v>
      </c>
      <c r="I14" t="s">
        <v>51</v>
      </c>
      <c r="J14" t="s">
        <v>163</v>
      </c>
      <c r="K14" t="s">
        <v>64</v>
      </c>
      <c r="L14" t="s">
        <v>56</v>
      </c>
      <c r="M14" t="s">
        <v>54</v>
      </c>
      <c r="N14">
        <v>2</v>
      </c>
      <c r="O14">
        <v>-2</v>
      </c>
      <c r="P14">
        <v>0</v>
      </c>
      <c r="Q14">
        <v>45</v>
      </c>
      <c r="R14">
        <v>0</v>
      </c>
      <c r="T14">
        <v>0</v>
      </c>
      <c r="U14">
        <v>1</v>
      </c>
      <c r="V14">
        <v>176</v>
      </c>
      <c r="W14">
        <v>4</v>
      </c>
      <c r="X14" t="s">
        <v>77</v>
      </c>
      <c r="Y14">
        <v>1</v>
      </c>
      <c r="Z14">
        <v>3</v>
      </c>
      <c r="AA14">
        <v>56</v>
      </c>
      <c r="AB14">
        <v>1</v>
      </c>
      <c r="AC14">
        <v>3</v>
      </c>
      <c r="AD14">
        <v>3</v>
      </c>
      <c r="AE14">
        <v>9756</v>
      </c>
      <c r="AF14">
        <v>6595</v>
      </c>
      <c r="AG14">
        <v>4</v>
      </c>
      <c r="AH14">
        <v>21</v>
      </c>
      <c r="AI14">
        <v>4</v>
      </c>
      <c r="AJ14">
        <v>3</v>
      </c>
      <c r="AK14">
        <v>80</v>
      </c>
      <c r="AL14">
        <v>2</v>
      </c>
      <c r="AM14">
        <v>9</v>
      </c>
      <c r="AN14">
        <v>4</v>
      </c>
      <c r="AO14">
        <v>5</v>
      </c>
      <c r="AP14">
        <v>0</v>
      </c>
      <c r="AQ14">
        <v>0</v>
      </c>
      <c r="AR14">
        <v>3</v>
      </c>
    </row>
    <row r="15" spans="1:44" x14ac:dyDescent="0.3">
      <c r="A15" t="s">
        <v>56</v>
      </c>
      <c r="B15" t="s">
        <v>45</v>
      </c>
      <c r="C15" t="s">
        <v>75</v>
      </c>
      <c r="D15" t="s">
        <v>59</v>
      </c>
      <c r="E15" t="s">
        <v>161</v>
      </c>
      <c r="F15" t="s">
        <v>163</v>
      </c>
      <c r="G15" t="s">
        <v>1397</v>
      </c>
      <c r="H15">
        <v>1973</v>
      </c>
      <c r="I15" t="s">
        <v>62</v>
      </c>
      <c r="J15" t="s">
        <v>95</v>
      </c>
      <c r="K15" t="s">
        <v>64</v>
      </c>
      <c r="L15" t="s">
        <v>44</v>
      </c>
      <c r="M15" t="s">
        <v>54</v>
      </c>
      <c r="N15">
        <v>0</v>
      </c>
      <c r="O15">
        <v>-2</v>
      </c>
      <c r="P15">
        <v>0</v>
      </c>
      <c r="Q15">
        <v>55</v>
      </c>
      <c r="R15">
        <v>0</v>
      </c>
      <c r="T15">
        <v>0</v>
      </c>
      <c r="U15">
        <v>1</v>
      </c>
      <c r="V15">
        <v>189</v>
      </c>
      <c r="W15">
        <v>26</v>
      </c>
      <c r="X15" t="s">
        <v>71</v>
      </c>
      <c r="Y15">
        <v>1</v>
      </c>
      <c r="Z15">
        <v>3</v>
      </c>
      <c r="AA15">
        <v>71</v>
      </c>
      <c r="AB15">
        <v>4</v>
      </c>
      <c r="AC15">
        <v>5</v>
      </c>
      <c r="AD15">
        <v>2</v>
      </c>
      <c r="AE15">
        <v>19636</v>
      </c>
      <c r="AF15">
        <v>25811</v>
      </c>
      <c r="AG15">
        <v>4</v>
      </c>
      <c r="AH15">
        <v>18</v>
      </c>
      <c r="AI15">
        <v>3</v>
      </c>
      <c r="AJ15">
        <v>1</v>
      </c>
      <c r="AK15">
        <v>80</v>
      </c>
      <c r="AL15">
        <v>1</v>
      </c>
      <c r="AM15">
        <v>35</v>
      </c>
      <c r="AN15">
        <v>3</v>
      </c>
      <c r="AO15">
        <v>10</v>
      </c>
      <c r="AP15">
        <v>9</v>
      </c>
      <c r="AQ15">
        <v>1</v>
      </c>
      <c r="AR15">
        <v>4</v>
      </c>
    </row>
    <row r="16" spans="1:44" x14ac:dyDescent="0.3">
      <c r="A16" t="s">
        <v>56</v>
      </c>
      <c r="B16" t="s">
        <v>57</v>
      </c>
      <c r="C16" t="s">
        <v>46</v>
      </c>
      <c r="D16" t="s">
        <v>59</v>
      </c>
      <c r="E16" t="s">
        <v>161</v>
      </c>
      <c r="F16" t="s">
        <v>66</v>
      </c>
      <c r="G16" t="s">
        <v>1385</v>
      </c>
      <c r="H16">
        <v>1972</v>
      </c>
      <c r="I16" t="s">
        <v>62</v>
      </c>
      <c r="J16" t="s">
        <v>163</v>
      </c>
      <c r="K16" t="s">
        <v>64</v>
      </c>
      <c r="L16" t="s">
        <v>44</v>
      </c>
      <c r="M16" t="s">
        <v>54</v>
      </c>
      <c r="N16">
        <v>2</v>
      </c>
      <c r="O16">
        <v>-2</v>
      </c>
      <c r="P16">
        <v>0</v>
      </c>
      <c r="Q16">
        <v>38</v>
      </c>
      <c r="R16">
        <v>0</v>
      </c>
      <c r="T16">
        <v>0</v>
      </c>
      <c r="U16">
        <v>1</v>
      </c>
      <c r="V16">
        <v>1444</v>
      </c>
      <c r="W16">
        <v>1</v>
      </c>
      <c r="X16" t="s">
        <v>71</v>
      </c>
      <c r="Y16">
        <v>1</v>
      </c>
      <c r="Z16">
        <v>4</v>
      </c>
      <c r="AA16">
        <v>88</v>
      </c>
      <c r="AB16">
        <v>3</v>
      </c>
      <c r="AC16">
        <v>1</v>
      </c>
      <c r="AD16">
        <v>2</v>
      </c>
      <c r="AE16">
        <v>2991</v>
      </c>
      <c r="AF16">
        <v>5224</v>
      </c>
      <c r="AG16">
        <v>0</v>
      </c>
      <c r="AH16">
        <v>11</v>
      </c>
      <c r="AI16">
        <v>3</v>
      </c>
      <c r="AJ16">
        <v>2</v>
      </c>
      <c r="AK16">
        <v>80</v>
      </c>
      <c r="AL16">
        <v>1</v>
      </c>
      <c r="AM16">
        <v>7</v>
      </c>
      <c r="AN16">
        <v>3</v>
      </c>
      <c r="AO16">
        <v>6</v>
      </c>
      <c r="AP16">
        <v>2</v>
      </c>
      <c r="AQ16">
        <v>1</v>
      </c>
      <c r="AR16">
        <v>2</v>
      </c>
    </row>
    <row r="17" spans="1:44" x14ac:dyDescent="0.3">
      <c r="A17" t="s">
        <v>56</v>
      </c>
      <c r="B17" t="s">
        <v>57</v>
      </c>
      <c r="C17" t="s">
        <v>46</v>
      </c>
      <c r="D17" t="s">
        <v>59</v>
      </c>
      <c r="E17" t="s">
        <v>161</v>
      </c>
      <c r="F17" t="s">
        <v>163</v>
      </c>
      <c r="G17" t="s">
        <v>1384</v>
      </c>
      <c r="H17">
        <v>1642</v>
      </c>
      <c r="I17" t="s">
        <v>62</v>
      </c>
      <c r="J17" t="s">
        <v>163</v>
      </c>
      <c r="K17" t="s">
        <v>64</v>
      </c>
      <c r="L17" t="s">
        <v>44</v>
      </c>
      <c r="M17" t="s">
        <v>54</v>
      </c>
      <c r="N17">
        <v>3</v>
      </c>
      <c r="O17">
        <v>-2</v>
      </c>
      <c r="P17">
        <v>0</v>
      </c>
      <c r="Q17">
        <v>44</v>
      </c>
      <c r="R17">
        <v>0</v>
      </c>
      <c r="T17">
        <v>0</v>
      </c>
      <c r="U17">
        <v>1</v>
      </c>
      <c r="V17">
        <v>602</v>
      </c>
      <c r="W17">
        <v>1</v>
      </c>
      <c r="X17" t="s">
        <v>134</v>
      </c>
      <c r="Y17">
        <v>1</v>
      </c>
      <c r="Z17">
        <v>1</v>
      </c>
      <c r="AA17">
        <v>37</v>
      </c>
      <c r="AB17">
        <v>3</v>
      </c>
      <c r="AC17">
        <v>2</v>
      </c>
      <c r="AD17">
        <v>4</v>
      </c>
      <c r="AE17">
        <v>5743</v>
      </c>
      <c r="AF17">
        <v>10503</v>
      </c>
      <c r="AG17">
        <v>4</v>
      </c>
      <c r="AH17">
        <v>11</v>
      </c>
      <c r="AI17">
        <v>3</v>
      </c>
      <c r="AJ17">
        <v>3</v>
      </c>
      <c r="AK17">
        <v>80</v>
      </c>
      <c r="AL17">
        <v>0</v>
      </c>
      <c r="AM17">
        <v>14</v>
      </c>
      <c r="AN17">
        <v>3</v>
      </c>
      <c r="AO17">
        <v>10</v>
      </c>
      <c r="AP17">
        <v>7</v>
      </c>
      <c r="AQ17">
        <v>0</v>
      </c>
      <c r="AR17">
        <v>2</v>
      </c>
    </row>
    <row r="18" spans="1:44" x14ac:dyDescent="0.3">
      <c r="A18" t="s">
        <v>56</v>
      </c>
      <c r="B18" t="s">
        <v>45</v>
      </c>
      <c r="C18" t="s">
        <v>46</v>
      </c>
      <c r="D18" t="s">
        <v>59</v>
      </c>
      <c r="E18" t="s">
        <v>161</v>
      </c>
      <c r="F18" t="s">
        <v>49</v>
      </c>
      <c r="G18" t="s">
        <v>1354</v>
      </c>
      <c r="H18">
        <v>2040</v>
      </c>
      <c r="I18" t="s">
        <v>51</v>
      </c>
      <c r="J18" t="s">
        <v>163</v>
      </c>
      <c r="K18" t="s">
        <v>53</v>
      </c>
      <c r="L18" t="s">
        <v>44</v>
      </c>
      <c r="M18" t="s">
        <v>54</v>
      </c>
      <c r="N18">
        <v>2</v>
      </c>
      <c r="O18">
        <v>-2</v>
      </c>
      <c r="P18">
        <v>0</v>
      </c>
      <c r="Q18">
        <v>35</v>
      </c>
      <c r="R18">
        <v>0</v>
      </c>
      <c r="T18">
        <v>0</v>
      </c>
      <c r="U18">
        <v>1</v>
      </c>
      <c r="V18">
        <v>1146</v>
      </c>
      <c r="W18">
        <v>26</v>
      </c>
      <c r="X18" t="s">
        <v>71</v>
      </c>
      <c r="Y18">
        <v>1</v>
      </c>
      <c r="Z18">
        <v>3</v>
      </c>
      <c r="AA18">
        <v>31</v>
      </c>
      <c r="AB18">
        <v>3</v>
      </c>
      <c r="AC18">
        <v>3</v>
      </c>
      <c r="AD18">
        <v>4</v>
      </c>
      <c r="AE18">
        <v>8837</v>
      </c>
      <c r="AF18">
        <v>16642</v>
      </c>
      <c r="AG18">
        <v>1</v>
      </c>
      <c r="AH18">
        <v>16</v>
      </c>
      <c r="AI18">
        <v>3</v>
      </c>
      <c r="AJ18">
        <v>3</v>
      </c>
      <c r="AK18">
        <v>80</v>
      </c>
      <c r="AL18">
        <v>0</v>
      </c>
      <c r="AM18">
        <v>9</v>
      </c>
      <c r="AN18">
        <v>3</v>
      </c>
      <c r="AO18">
        <v>9</v>
      </c>
      <c r="AP18">
        <v>0</v>
      </c>
      <c r="AQ18">
        <v>1</v>
      </c>
      <c r="AR18">
        <v>7</v>
      </c>
    </row>
    <row r="19" spans="1:44" x14ac:dyDescent="0.3">
      <c r="A19" t="s">
        <v>56</v>
      </c>
      <c r="B19" t="s">
        <v>45</v>
      </c>
      <c r="C19" t="s">
        <v>46</v>
      </c>
      <c r="D19" t="s">
        <v>59</v>
      </c>
      <c r="E19" t="s">
        <v>161</v>
      </c>
      <c r="F19" t="s">
        <v>49</v>
      </c>
      <c r="G19" t="s">
        <v>1353</v>
      </c>
      <c r="H19">
        <v>1683</v>
      </c>
      <c r="I19" t="s">
        <v>51</v>
      </c>
      <c r="J19" t="s">
        <v>163</v>
      </c>
      <c r="K19" t="s">
        <v>79</v>
      </c>
      <c r="L19" t="s">
        <v>44</v>
      </c>
      <c r="M19" t="s">
        <v>54</v>
      </c>
      <c r="N19">
        <v>2</v>
      </c>
      <c r="O19">
        <v>-2</v>
      </c>
      <c r="P19">
        <v>0</v>
      </c>
      <c r="Q19">
        <v>44</v>
      </c>
      <c r="R19">
        <v>0</v>
      </c>
      <c r="T19">
        <v>0</v>
      </c>
      <c r="U19">
        <v>1</v>
      </c>
      <c r="V19">
        <v>528</v>
      </c>
      <c r="W19">
        <v>1</v>
      </c>
      <c r="X19" t="s">
        <v>77</v>
      </c>
      <c r="Y19">
        <v>1</v>
      </c>
      <c r="Z19">
        <v>3</v>
      </c>
      <c r="AA19">
        <v>44</v>
      </c>
      <c r="AB19">
        <v>3</v>
      </c>
      <c r="AC19">
        <v>1</v>
      </c>
      <c r="AD19">
        <v>4</v>
      </c>
      <c r="AE19">
        <v>3195</v>
      </c>
      <c r="AF19">
        <v>4167</v>
      </c>
      <c r="AG19">
        <v>4</v>
      </c>
      <c r="AH19">
        <v>18</v>
      </c>
      <c r="AI19">
        <v>3</v>
      </c>
      <c r="AJ19">
        <v>1</v>
      </c>
      <c r="AK19">
        <v>80</v>
      </c>
      <c r="AL19">
        <v>3</v>
      </c>
      <c r="AM19">
        <v>8</v>
      </c>
      <c r="AN19">
        <v>3</v>
      </c>
      <c r="AO19">
        <v>2</v>
      </c>
      <c r="AP19">
        <v>2</v>
      </c>
      <c r="AQ19">
        <v>2</v>
      </c>
      <c r="AR19">
        <v>2</v>
      </c>
    </row>
    <row r="20" spans="1:44" x14ac:dyDescent="0.3">
      <c r="A20" t="s">
        <v>56</v>
      </c>
      <c r="B20" t="s">
        <v>45</v>
      </c>
      <c r="C20" t="s">
        <v>46</v>
      </c>
      <c r="D20" t="s">
        <v>59</v>
      </c>
      <c r="E20" t="s">
        <v>161</v>
      </c>
      <c r="F20" t="s">
        <v>49</v>
      </c>
      <c r="G20" t="s">
        <v>1229</v>
      </c>
      <c r="H20">
        <v>1778</v>
      </c>
      <c r="I20" t="s">
        <v>62</v>
      </c>
      <c r="J20" t="s">
        <v>163</v>
      </c>
      <c r="K20" t="s">
        <v>53</v>
      </c>
      <c r="L20" t="s">
        <v>56</v>
      </c>
      <c r="M20" t="s">
        <v>54</v>
      </c>
      <c r="N20">
        <v>5</v>
      </c>
      <c r="O20">
        <v>-2</v>
      </c>
      <c r="P20">
        <v>0</v>
      </c>
      <c r="Q20">
        <v>43</v>
      </c>
      <c r="R20">
        <v>0</v>
      </c>
      <c r="T20">
        <v>0</v>
      </c>
      <c r="U20">
        <v>1</v>
      </c>
      <c r="V20">
        <v>244</v>
      </c>
      <c r="W20">
        <v>2</v>
      </c>
      <c r="X20" t="s">
        <v>77</v>
      </c>
      <c r="Y20">
        <v>1</v>
      </c>
      <c r="Z20">
        <v>2</v>
      </c>
      <c r="AA20">
        <v>97</v>
      </c>
      <c r="AB20">
        <v>3</v>
      </c>
      <c r="AC20">
        <v>1</v>
      </c>
      <c r="AD20">
        <v>4</v>
      </c>
      <c r="AE20">
        <v>3539</v>
      </c>
      <c r="AF20">
        <v>5033</v>
      </c>
      <c r="AG20">
        <v>0</v>
      </c>
      <c r="AH20">
        <v>13</v>
      </c>
      <c r="AI20">
        <v>3</v>
      </c>
      <c r="AJ20">
        <v>2</v>
      </c>
      <c r="AK20">
        <v>80</v>
      </c>
      <c r="AL20">
        <v>0</v>
      </c>
      <c r="AM20">
        <v>10</v>
      </c>
      <c r="AN20">
        <v>3</v>
      </c>
      <c r="AO20">
        <v>9</v>
      </c>
      <c r="AP20">
        <v>7</v>
      </c>
      <c r="AQ20">
        <v>1</v>
      </c>
      <c r="AR20">
        <v>8</v>
      </c>
    </row>
    <row r="21" spans="1:44" x14ac:dyDescent="0.3">
      <c r="A21" t="s">
        <v>56</v>
      </c>
      <c r="B21" t="s">
        <v>45</v>
      </c>
      <c r="C21" t="s">
        <v>69</v>
      </c>
      <c r="D21" t="s">
        <v>59</v>
      </c>
      <c r="E21" t="s">
        <v>161</v>
      </c>
      <c r="F21" t="s">
        <v>66</v>
      </c>
      <c r="G21" t="s">
        <v>1228</v>
      </c>
      <c r="H21">
        <v>1419</v>
      </c>
      <c r="I21" t="s">
        <v>62</v>
      </c>
      <c r="J21" t="s">
        <v>163</v>
      </c>
      <c r="K21" t="s">
        <v>53</v>
      </c>
      <c r="L21" t="s">
        <v>56</v>
      </c>
      <c r="M21" t="s">
        <v>54</v>
      </c>
      <c r="N21">
        <v>3</v>
      </c>
      <c r="O21">
        <v>-2</v>
      </c>
      <c r="P21">
        <v>0</v>
      </c>
      <c r="Q21">
        <v>29</v>
      </c>
      <c r="R21">
        <v>0</v>
      </c>
      <c r="T21">
        <v>0</v>
      </c>
      <c r="U21">
        <v>1</v>
      </c>
      <c r="V21">
        <v>332</v>
      </c>
      <c r="W21">
        <v>17</v>
      </c>
      <c r="X21" t="s">
        <v>77</v>
      </c>
      <c r="Y21">
        <v>1</v>
      </c>
      <c r="Z21">
        <v>2</v>
      </c>
      <c r="AA21">
        <v>51</v>
      </c>
      <c r="AB21">
        <v>2</v>
      </c>
      <c r="AC21">
        <v>3</v>
      </c>
      <c r="AD21">
        <v>3</v>
      </c>
      <c r="AE21">
        <v>7988</v>
      </c>
      <c r="AF21">
        <v>9769</v>
      </c>
      <c r="AG21">
        <v>1</v>
      </c>
      <c r="AH21">
        <v>13</v>
      </c>
      <c r="AI21">
        <v>3</v>
      </c>
      <c r="AJ21">
        <v>1</v>
      </c>
      <c r="AK21">
        <v>80</v>
      </c>
      <c r="AL21">
        <v>0</v>
      </c>
      <c r="AM21">
        <v>10</v>
      </c>
      <c r="AN21">
        <v>2</v>
      </c>
      <c r="AO21">
        <v>10</v>
      </c>
      <c r="AP21">
        <v>9</v>
      </c>
      <c r="AQ21">
        <v>0</v>
      </c>
      <c r="AR21">
        <v>9</v>
      </c>
    </row>
    <row r="22" spans="1:44" x14ac:dyDescent="0.3">
      <c r="A22" t="s">
        <v>56</v>
      </c>
      <c r="B22" t="s">
        <v>45</v>
      </c>
      <c r="C22" t="s">
        <v>69</v>
      </c>
      <c r="D22" t="s">
        <v>59</v>
      </c>
      <c r="E22" t="s">
        <v>161</v>
      </c>
      <c r="F22" t="s">
        <v>72</v>
      </c>
      <c r="G22" t="s">
        <v>1227</v>
      </c>
      <c r="H22">
        <v>1865</v>
      </c>
      <c r="I22" t="s">
        <v>62</v>
      </c>
      <c r="J22" t="s">
        <v>163</v>
      </c>
      <c r="K22" t="s">
        <v>64</v>
      </c>
      <c r="L22" t="s">
        <v>56</v>
      </c>
      <c r="M22" t="s">
        <v>54</v>
      </c>
      <c r="N22">
        <v>3</v>
      </c>
      <c r="O22">
        <v>-2</v>
      </c>
      <c r="P22">
        <v>0</v>
      </c>
      <c r="Q22">
        <v>29</v>
      </c>
      <c r="R22">
        <v>0</v>
      </c>
      <c r="T22">
        <v>0</v>
      </c>
      <c r="U22">
        <v>1</v>
      </c>
      <c r="V22">
        <v>352</v>
      </c>
      <c r="W22">
        <v>6</v>
      </c>
      <c r="X22" t="s">
        <v>65</v>
      </c>
      <c r="Y22">
        <v>1</v>
      </c>
      <c r="Z22">
        <v>4</v>
      </c>
      <c r="AA22">
        <v>87</v>
      </c>
      <c r="AB22">
        <v>2</v>
      </c>
      <c r="AC22">
        <v>1</v>
      </c>
      <c r="AD22">
        <v>2</v>
      </c>
      <c r="AE22">
        <v>2804</v>
      </c>
      <c r="AF22">
        <v>15434</v>
      </c>
      <c r="AG22">
        <v>1</v>
      </c>
      <c r="AH22">
        <v>11</v>
      </c>
      <c r="AI22">
        <v>3</v>
      </c>
      <c r="AJ22">
        <v>4</v>
      </c>
      <c r="AK22">
        <v>80</v>
      </c>
      <c r="AL22">
        <v>0</v>
      </c>
      <c r="AM22">
        <v>1</v>
      </c>
      <c r="AN22">
        <v>3</v>
      </c>
      <c r="AO22">
        <v>1</v>
      </c>
      <c r="AP22">
        <v>0</v>
      </c>
      <c r="AQ22">
        <v>0</v>
      </c>
      <c r="AR22">
        <v>0</v>
      </c>
    </row>
    <row r="23" spans="1:44" x14ac:dyDescent="0.3">
      <c r="A23" t="s">
        <v>56</v>
      </c>
      <c r="B23" t="s">
        <v>45</v>
      </c>
      <c r="C23" t="s">
        <v>46</v>
      </c>
      <c r="D23" t="s">
        <v>59</v>
      </c>
      <c r="E23" t="s">
        <v>161</v>
      </c>
      <c r="F23" t="s">
        <v>66</v>
      </c>
      <c r="G23" t="s">
        <v>1226</v>
      </c>
      <c r="H23">
        <v>1794</v>
      </c>
      <c r="I23" t="s">
        <v>62</v>
      </c>
      <c r="J23" t="s">
        <v>163</v>
      </c>
      <c r="K23" t="s">
        <v>79</v>
      </c>
      <c r="L23" t="s">
        <v>56</v>
      </c>
      <c r="M23" t="s">
        <v>54</v>
      </c>
      <c r="N23">
        <v>4</v>
      </c>
      <c r="O23">
        <v>-2</v>
      </c>
      <c r="P23">
        <v>0</v>
      </c>
      <c r="Q23">
        <v>37</v>
      </c>
      <c r="R23">
        <v>0</v>
      </c>
      <c r="T23">
        <v>0</v>
      </c>
      <c r="U23">
        <v>1</v>
      </c>
      <c r="V23">
        <v>1239</v>
      </c>
      <c r="W23">
        <v>8</v>
      </c>
      <c r="X23" t="s">
        <v>55</v>
      </c>
      <c r="Y23">
        <v>1</v>
      </c>
      <c r="Z23">
        <v>3</v>
      </c>
      <c r="AA23">
        <v>89</v>
      </c>
      <c r="AB23">
        <v>3</v>
      </c>
      <c r="AC23">
        <v>2</v>
      </c>
      <c r="AD23">
        <v>2</v>
      </c>
      <c r="AE23">
        <v>4071</v>
      </c>
      <c r="AF23">
        <v>12832</v>
      </c>
      <c r="AG23">
        <v>2</v>
      </c>
      <c r="AH23">
        <v>13</v>
      </c>
      <c r="AI23">
        <v>3</v>
      </c>
      <c r="AJ23">
        <v>3</v>
      </c>
      <c r="AK23">
        <v>80</v>
      </c>
      <c r="AL23">
        <v>0</v>
      </c>
      <c r="AM23">
        <v>19</v>
      </c>
      <c r="AN23">
        <v>2</v>
      </c>
      <c r="AO23">
        <v>10</v>
      </c>
      <c r="AP23">
        <v>0</v>
      </c>
      <c r="AQ23">
        <v>4</v>
      </c>
      <c r="AR23">
        <v>7</v>
      </c>
    </row>
    <row r="24" spans="1:44" x14ac:dyDescent="0.3">
      <c r="A24" t="s">
        <v>56</v>
      </c>
      <c r="B24" t="s">
        <v>57</v>
      </c>
      <c r="C24" t="s">
        <v>92</v>
      </c>
      <c r="D24" t="s">
        <v>59</v>
      </c>
      <c r="E24" t="s">
        <v>161</v>
      </c>
      <c r="F24" t="s">
        <v>72</v>
      </c>
      <c r="G24" t="s">
        <v>1202</v>
      </c>
      <c r="H24">
        <v>1746</v>
      </c>
      <c r="I24" t="s">
        <v>62</v>
      </c>
      <c r="J24" t="s">
        <v>163</v>
      </c>
      <c r="K24" t="s">
        <v>64</v>
      </c>
      <c r="L24" t="s">
        <v>56</v>
      </c>
      <c r="M24" t="s">
        <v>54</v>
      </c>
      <c r="N24">
        <v>2</v>
      </c>
      <c r="O24">
        <v>-2</v>
      </c>
      <c r="P24">
        <v>0</v>
      </c>
      <c r="Q24">
        <v>24</v>
      </c>
      <c r="R24">
        <v>0</v>
      </c>
      <c r="T24">
        <v>0</v>
      </c>
      <c r="U24">
        <v>1</v>
      </c>
      <c r="V24">
        <v>897</v>
      </c>
      <c r="W24">
        <v>10</v>
      </c>
      <c r="X24" t="s">
        <v>77</v>
      </c>
      <c r="Y24">
        <v>1</v>
      </c>
      <c r="Z24">
        <v>1</v>
      </c>
      <c r="AA24">
        <v>59</v>
      </c>
      <c r="AB24">
        <v>3</v>
      </c>
      <c r="AC24">
        <v>1</v>
      </c>
      <c r="AD24">
        <v>4</v>
      </c>
      <c r="AE24">
        <v>2145</v>
      </c>
      <c r="AF24">
        <v>2097</v>
      </c>
      <c r="AG24">
        <v>0</v>
      </c>
      <c r="AH24">
        <v>14</v>
      </c>
      <c r="AI24">
        <v>3</v>
      </c>
      <c r="AJ24">
        <v>4</v>
      </c>
      <c r="AK24">
        <v>80</v>
      </c>
      <c r="AL24">
        <v>1</v>
      </c>
      <c r="AM24">
        <v>3</v>
      </c>
      <c r="AN24">
        <v>3</v>
      </c>
      <c r="AO24">
        <v>2</v>
      </c>
      <c r="AP24">
        <v>2</v>
      </c>
      <c r="AQ24">
        <v>2</v>
      </c>
      <c r="AR24">
        <v>1</v>
      </c>
    </row>
    <row r="25" spans="1:44" x14ac:dyDescent="0.3">
      <c r="A25" t="s">
        <v>56</v>
      </c>
      <c r="B25" t="s">
        <v>57</v>
      </c>
      <c r="C25" t="s">
        <v>46</v>
      </c>
      <c r="D25" t="s">
        <v>59</v>
      </c>
      <c r="E25" t="s">
        <v>161</v>
      </c>
      <c r="F25" t="s">
        <v>163</v>
      </c>
      <c r="G25" t="s">
        <v>1201</v>
      </c>
      <c r="H25">
        <v>1563</v>
      </c>
      <c r="I25" t="s">
        <v>62</v>
      </c>
      <c r="J25" t="s">
        <v>163</v>
      </c>
      <c r="K25" t="s">
        <v>64</v>
      </c>
      <c r="L25" t="s">
        <v>56</v>
      </c>
      <c r="M25" t="s">
        <v>54</v>
      </c>
      <c r="N25">
        <v>2</v>
      </c>
      <c r="O25">
        <v>-2</v>
      </c>
      <c r="P25">
        <v>0</v>
      </c>
      <c r="Q25">
        <v>38</v>
      </c>
      <c r="R25">
        <v>0</v>
      </c>
      <c r="T25">
        <v>0</v>
      </c>
      <c r="U25">
        <v>1</v>
      </c>
      <c r="V25">
        <v>888</v>
      </c>
      <c r="W25">
        <v>10</v>
      </c>
      <c r="X25" t="s">
        <v>71</v>
      </c>
      <c r="Y25">
        <v>1</v>
      </c>
      <c r="Z25">
        <v>3</v>
      </c>
      <c r="AA25">
        <v>71</v>
      </c>
      <c r="AB25">
        <v>3</v>
      </c>
      <c r="AC25">
        <v>2</v>
      </c>
      <c r="AD25">
        <v>3</v>
      </c>
      <c r="AE25">
        <v>6077</v>
      </c>
      <c r="AF25">
        <v>14814</v>
      </c>
      <c r="AG25">
        <v>3</v>
      </c>
      <c r="AH25">
        <v>11</v>
      </c>
      <c r="AI25">
        <v>3</v>
      </c>
      <c r="AJ25">
        <v>3</v>
      </c>
      <c r="AK25">
        <v>80</v>
      </c>
      <c r="AL25">
        <v>0</v>
      </c>
      <c r="AM25">
        <v>10</v>
      </c>
      <c r="AN25">
        <v>3</v>
      </c>
      <c r="AO25">
        <v>6</v>
      </c>
      <c r="AP25">
        <v>3</v>
      </c>
      <c r="AQ25">
        <v>1</v>
      </c>
      <c r="AR25">
        <v>2</v>
      </c>
    </row>
    <row r="26" spans="1:44" x14ac:dyDescent="0.3">
      <c r="A26" t="s">
        <v>56</v>
      </c>
      <c r="B26" t="s">
        <v>91</v>
      </c>
      <c r="C26" t="s">
        <v>46</v>
      </c>
      <c r="D26" t="s">
        <v>59</v>
      </c>
      <c r="E26" t="s">
        <v>161</v>
      </c>
      <c r="F26" t="s">
        <v>163</v>
      </c>
      <c r="G26" t="s">
        <v>1180</v>
      </c>
      <c r="H26">
        <v>1722</v>
      </c>
      <c r="I26" t="s">
        <v>62</v>
      </c>
      <c r="J26" t="s">
        <v>163</v>
      </c>
      <c r="K26" t="s">
        <v>64</v>
      </c>
      <c r="L26" t="s">
        <v>56</v>
      </c>
      <c r="M26" t="s">
        <v>54</v>
      </c>
      <c r="N26">
        <v>4</v>
      </c>
      <c r="O26">
        <v>-2</v>
      </c>
      <c r="P26">
        <v>0</v>
      </c>
      <c r="Q26">
        <v>41</v>
      </c>
      <c r="R26">
        <v>0</v>
      </c>
      <c r="T26">
        <v>0</v>
      </c>
      <c r="U26">
        <v>1</v>
      </c>
      <c r="V26">
        <v>552</v>
      </c>
      <c r="W26">
        <v>4</v>
      </c>
      <c r="X26" t="s">
        <v>77</v>
      </c>
      <c r="Y26">
        <v>1</v>
      </c>
      <c r="Z26">
        <v>3</v>
      </c>
      <c r="AA26">
        <v>60</v>
      </c>
      <c r="AB26">
        <v>1</v>
      </c>
      <c r="AC26">
        <v>2</v>
      </c>
      <c r="AD26">
        <v>2</v>
      </c>
      <c r="AE26">
        <v>6430</v>
      </c>
      <c r="AF26">
        <v>20794</v>
      </c>
      <c r="AG26">
        <v>6</v>
      </c>
      <c r="AH26">
        <v>19</v>
      </c>
      <c r="AI26">
        <v>3</v>
      </c>
      <c r="AJ26">
        <v>2</v>
      </c>
      <c r="AK26">
        <v>80</v>
      </c>
      <c r="AL26">
        <v>1</v>
      </c>
      <c r="AM26">
        <v>10</v>
      </c>
      <c r="AN26">
        <v>3</v>
      </c>
      <c r="AO26">
        <v>3</v>
      </c>
      <c r="AP26">
        <v>2</v>
      </c>
      <c r="AQ26">
        <v>1</v>
      </c>
      <c r="AR26">
        <v>2</v>
      </c>
    </row>
    <row r="27" spans="1:44" x14ac:dyDescent="0.3">
      <c r="A27" t="s">
        <v>56</v>
      </c>
      <c r="B27" t="s">
        <v>91</v>
      </c>
      <c r="C27" t="s">
        <v>46</v>
      </c>
      <c r="D27" t="s">
        <v>59</v>
      </c>
      <c r="E27" t="s">
        <v>161</v>
      </c>
      <c r="F27" t="s">
        <v>163</v>
      </c>
      <c r="G27" t="s">
        <v>1179</v>
      </c>
      <c r="H27">
        <v>1805</v>
      </c>
      <c r="I27" t="s">
        <v>62</v>
      </c>
      <c r="J27" t="s">
        <v>163</v>
      </c>
      <c r="K27" t="s">
        <v>79</v>
      </c>
      <c r="L27" t="s">
        <v>56</v>
      </c>
      <c r="M27" t="s">
        <v>54</v>
      </c>
      <c r="N27">
        <v>3</v>
      </c>
      <c r="O27">
        <v>-2</v>
      </c>
      <c r="P27">
        <v>0</v>
      </c>
      <c r="Q27">
        <v>38</v>
      </c>
      <c r="R27">
        <v>0</v>
      </c>
      <c r="T27">
        <v>0</v>
      </c>
      <c r="U27">
        <v>1</v>
      </c>
      <c r="V27">
        <v>1336</v>
      </c>
      <c r="W27">
        <v>2</v>
      </c>
      <c r="X27" t="s">
        <v>77</v>
      </c>
      <c r="Y27">
        <v>1</v>
      </c>
      <c r="Z27">
        <v>1</v>
      </c>
      <c r="AA27">
        <v>100</v>
      </c>
      <c r="AB27">
        <v>3</v>
      </c>
      <c r="AC27">
        <v>1</v>
      </c>
      <c r="AD27">
        <v>2</v>
      </c>
      <c r="AE27">
        <v>2592</v>
      </c>
      <c r="AF27">
        <v>7129</v>
      </c>
      <c r="AG27">
        <v>5</v>
      </c>
      <c r="AH27">
        <v>13</v>
      </c>
      <c r="AI27">
        <v>3</v>
      </c>
      <c r="AJ27">
        <v>4</v>
      </c>
      <c r="AK27">
        <v>80</v>
      </c>
      <c r="AL27">
        <v>3</v>
      </c>
      <c r="AM27">
        <v>13</v>
      </c>
      <c r="AN27">
        <v>3</v>
      </c>
      <c r="AO27">
        <v>11</v>
      </c>
      <c r="AP27">
        <v>10</v>
      </c>
      <c r="AQ27">
        <v>3</v>
      </c>
      <c r="AR27">
        <v>8</v>
      </c>
    </row>
    <row r="28" spans="1:44" x14ac:dyDescent="0.3">
      <c r="A28" t="s">
        <v>56</v>
      </c>
      <c r="B28" t="s">
        <v>91</v>
      </c>
      <c r="C28" t="s">
        <v>69</v>
      </c>
      <c r="D28" t="s">
        <v>59</v>
      </c>
      <c r="E28" t="s">
        <v>161</v>
      </c>
      <c r="F28" t="s">
        <v>49</v>
      </c>
      <c r="G28" t="s">
        <v>1178</v>
      </c>
      <c r="H28">
        <v>1858</v>
      </c>
      <c r="I28" t="s">
        <v>62</v>
      </c>
      <c r="J28" t="s">
        <v>163</v>
      </c>
      <c r="K28" t="s">
        <v>79</v>
      </c>
      <c r="L28" t="s">
        <v>56</v>
      </c>
      <c r="M28" t="s">
        <v>54</v>
      </c>
      <c r="N28">
        <v>2</v>
      </c>
      <c r="O28">
        <v>-2</v>
      </c>
      <c r="P28">
        <v>0</v>
      </c>
      <c r="Q28">
        <v>28</v>
      </c>
      <c r="R28">
        <v>0</v>
      </c>
      <c r="T28">
        <v>0</v>
      </c>
      <c r="U28">
        <v>1</v>
      </c>
      <c r="V28">
        <v>280</v>
      </c>
      <c r="W28">
        <v>1</v>
      </c>
      <c r="X28" t="s">
        <v>55</v>
      </c>
      <c r="Y28">
        <v>1</v>
      </c>
      <c r="Z28">
        <v>3</v>
      </c>
      <c r="AA28">
        <v>43</v>
      </c>
      <c r="AB28">
        <v>3</v>
      </c>
      <c r="AC28">
        <v>1</v>
      </c>
      <c r="AD28">
        <v>4</v>
      </c>
      <c r="AE28">
        <v>2706</v>
      </c>
      <c r="AF28">
        <v>10494</v>
      </c>
      <c r="AG28">
        <v>1</v>
      </c>
      <c r="AH28">
        <v>15</v>
      </c>
      <c r="AI28">
        <v>3</v>
      </c>
      <c r="AJ28">
        <v>2</v>
      </c>
      <c r="AK28">
        <v>80</v>
      </c>
      <c r="AL28">
        <v>1</v>
      </c>
      <c r="AM28">
        <v>3</v>
      </c>
      <c r="AN28">
        <v>3</v>
      </c>
      <c r="AO28">
        <v>3</v>
      </c>
      <c r="AP28">
        <v>2</v>
      </c>
      <c r="AQ28">
        <v>2</v>
      </c>
      <c r="AR28">
        <v>2</v>
      </c>
    </row>
    <row r="29" spans="1:44" x14ac:dyDescent="0.3">
      <c r="A29" t="s">
        <v>56</v>
      </c>
      <c r="B29" t="s">
        <v>45</v>
      </c>
      <c r="C29" t="s">
        <v>69</v>
      </c>
      <c r="D29" t="s">
        <v>59</v>
      </c>
      <c r="E29" t="s">
        <v>161</v>
      </c>
      <c r="F29" t="s">
        <v>72</v>
      </c>
      <c r="G29" t="s">
        <v>1105</v>
      </c>
      <c r="H29">
        <v>1461</v>
      </c>
      <c r="I29" t="s">
        <v>51</v>
      </c>
      <c r="J29" t="s">
        <v>163</v>
      </c>
      <c r="K29" t="s">
        <v>53</v>
      </c>
      <c r="L29" t="s">
        <v>56</v>
      </c>
      <c r="M29" t="s">
        <v>54</v>
      </c>
      <c r="N29">
        <v>3</v>
      </c>
      <c r="O29">
        <v>-2</v>
      </c>
      <c r="P29">
        <v>0</v>
      </c>
      <c r="Q29">
        <v>31</v>
      </c>
      <c r="R29">
        <v>0</v>
      </c>
      <c r="T29">
        <v>0</v>
      </c>
      <c r="U29">
        <v>1</v>
      </c>
      <c r="V29">
        <v>1398</v>
      </c>
      <c r="W29">
        <v>8</v>
      </c>
      <c r="X29" t="s">
        <v>55</v>
      </c>
      <c r="Y29">
        <v>1</v>
      </c>
      <c r="Z29">
        <v>4</v>
      </c>
      <c r="AA29">
        <v>96</v>
      </c>
      <c r="AB29">
        <v>4</v>
      </c>
      <c r="AC29">
        <v>1</v>
      </c>
      <c r="AD29">
        <v>2</v>
      </c>
      <c r="AE29">
        <v>2109</v>
      </c>
      <c r="AF29">
        <v>24609</v>
      </c>
      <c r="AG29">
        <v>9</v>
      </c>
      <c r="AH29">
        <v>18</v>
      </c>
      <c r="AI29">
        <v>3</v>
      </c>
      <c r="AJ29">
        <v>4</v>
      </c>
      <c r="AK29">
        <v>80</v>
      </c>
      <c r="AL29">
        <v>0</v>
      </c>
      <c r="AM29">
        <v>8</v>
      </c>
      <c r="AN29">
        <v>3</v>
      </c>
      <c r="AO29">
        <v>3</v>
      </c>
      <c r="AP29">
        <v>2</v>
      </c>
      <c r="AQ29">
        <v>0</v>
      </c>
      <c r="AR29">
        <v>2</v>
      </c>
    </row>
    <row r="30" spans="1:44" x14ac:dyDescent="0.3">
      <c r="A30" t="s">
        <v>56</v>
      </c>
      <c r="B30" t="s">
        <v>45</v>
      </c>
      <c r="C30" t="s">
        <v>58</v>
      </c>
      <c r="D30" t="s">
        <v>59</v>
      </c>
      <c r="E30" t="s">
        <v>161</v>
      </c>
      <c r="F30" t="s">
        <v>49</v>
      </c>
      <c r="G30" t="s">
        <v>1104</v>
      </c>
      <c r="H30">
        <v>1625</v>
      </c>
      <c r="I30" t="s">
        <v>51</v>
      </c>
      <c r="J30" t="s">
        <v>95</v>
      </c>
      <c r="K30" t="s">
        <v>64</v>
      </c>
      <c r="L30" t="s">
        <v>56</v>
      </c>
      <c r="M30" t="s">
        <v>54</v>
      </c>
      <c r="N30">
        <v>2</v>
      </c>
      <c r="O30">
        <v>-2</v>
      </c>
      <c r="P30">
        <v>0</v>
      </c>
      <c r="Q30">
        <v>47</v>
      </c>
      <c r="R30">
        <v>0</v>
      </c>
      <c r="T30">
        <v>0</v>
      </c>
      <c r="U30">
        <v>1</v>
      </c>
      <c r="V30">
        <v>1176</v>
      </c>
      <c r="W30">
        <v>26</v>
      </c>
      <c r="X30" t="s">
        <v>71</v>
      </c>
      <c r="Y30">
        <v>1</v>
      </c>
      <c r="Z30">
        <v>4</v>
      </c>
      <c r="AA30">
        <v>98</v>
      </c>
      <c r="AB30">
        <v>3</v>
      </c>
      <c r="AC30">
        <v>5</v>
      </c>
      <c r="AD30">
        <v>3</v>
      </c>
      <c r="AE30">
        <v>19658</v>
      </c>
      <c r="AF30">
        <v>5220</v>
      </c>
      <c r="AG30">
        <v>3</v>
      </c>
      <c r="AH30">
        <v>11</v>
      </c>
      <c r="AI30">
        <v>3</v>
      </c>
      <c r="AJ30">
        <v>3</v>
      </c>
      <c r="AK30">
        <v>80</v>
      </c>
      <c r="AL30">
        <v>1</v>
      </c>
      <c r="AM30">
        <v>27</v>
      </c>
      <c r="AN30">
        <v>3</v>
      </c>
      <c r="AO30">
        <v>5</v>
      </c>
      <c r="AP30">
        <v>2</v>
      </c>
      <c r="AQ30">
        <v>1</v>
      </c>
      <c r="AR30">
        <v>0</v>
      </c>
    </row>
    <row r="31" spans="1:44" x14ac:dyDescent="0.3">
      <c r="A31" t="s">
        <v>56</v>
      </c>
      <c r="B31" t="s">
        <v>45</v>
      </c>
      <c r="C31" t="s">
        <v>69</v>
      </c>
      <c r="D31" t="s">
        <v>59</v>
      </c>
      <c r="E31" t="s">
        <v>161</v>
      </c>
      <c r="F31" t="s">
        <v>163</v>
      </c>
      <c r="G31" t="s">
        <v>1103</v>
      </c>
      <c r="H31">
        <v>1987</v>
      </c>
      <c r="I31" t="s">
        <v>51</v>
      </c>
      <c r="J31" t="s">
        <v>163</v>
      </c>
      <c r="K31" t="s">
        <v>64</v>
      </c>
      <c r="L31" t="s">
        <v>56</v>
      </c>
      <c r="M31" t="s">
        <v>54</v>
      </c>
      <c r="N31">
        <v>3</v>
      </c>
      <c r="O31">
        <v>-2</v>
      </c>
      <c r="P31">
        <v>0</v>
      </c>
      <c r="Q31">
        <v>25</v>
      </c>
      <c r="R31">
        <v>0</v>
      </c>
      <c r="T31">
        <v>0</v>
      </c>
      <c r="U31">
        <v>1</v>
      </c>
      <c r="V31">
        <v>309</v>
      </c>
      <c r="W31">
        <v>2</v>
      </c>
      <c r="X31" t="s">
        <v>77</v>
      </c>
      <c r="Y31">
        <v>1</v>
      </c>
      <c r="Z31">
        <v>3</v>
      </c>
      <c r="AA31">
        <v>82</v>
      </c>
      <c r="AB31">
        <v>3</v>
      </c>
      <c r="AC31">
        <v>1</v>
      </c>
      <c r="AD31">
        <v>2</v>
      </c>
      <c r="AE31">
        <v>2187</v>
      </c>
      <c r="AF31">
        <v>19655</v>
      </c>
      <c r="AG31">
        <v>4</v>
      </c>
      <c r="AH31">
        <v>14</v>
      </c>
      <c r="AI31">
        <v>3</v>
      </c>
      <c r="AJ31">
        <v>3</v>
      </c>
      <c r="AK31">
        <v>80</v>
      </c>
      <c r="AL31">
        <v>0</v>
      </c>
      <c r="AM31">
        <v>6</v>
      </c>
      <c r="AN31">
        <v>3</v>
      </c>
      <c r="AO31">
        <v>2</v>
      </c>
      <c r="AP31">
        <v>0</v>
      </c>
      <c r="AQ31">
        <v>1</v>
      </c>
      <c r="AR31">
        <v>2</v>
      </c>
    </row>
    <row r="32" spans="1:44" x14ac:dyDescent="0.3">
      <c r="A32" t="s">
        <v>56</v>
      </c>
      <c r="B32" t="s">
        <v>45</v>
      </c>
      <c r="C32" t="s">
        <v>46</v>
      </c>
      <c r="D32" t="s">
        <v>59</v>
      </c>
      <c r="E32" t="s">
        <v>161</v>
      </c>
      <c r="F32" t="s">
        <v>163</v>
      </c>
      <c r="G32" t="s">
        <v>1083</v>
      </c>
      <c r="H32">
        <v>1408</v>
      </c>
      <c r="I32" t="s">
        <v>51</v>
      </c>
      <c r="J32" t="s">
        <v>95</v>
      </c>
      <c r="K32" t="s">
        <v>64</v>
      </c>
      <c r="L32" t="s">
        <v>56</v>
      </c>
      <c r="M32" t="s">
        <v>54</v>
      </c>
      <c r="N32">
        <v>5</v>
      </c>
      <c r="O32">
        <v>-2</v>
      </c>
      <c r="P32">
        <v>0</v>
      </c>
      <c r="Q32">
        <v>42</v>
      </c>
      <c r="R32">
        <v>0</v>
      </c>
      <c r="T32">
        <v>0</v>
      </c>
      <c r="U32">
        <v>1</v>
      </c>
      <c r="V32">
        <v>1147</v>
      </c>
      <c r="W32">
        <v>10</v>
      </c>
      <c r="X32" t="s">
        <v>77</v>
      </c>
      <c r="Y32">
        <v>1</v>
      </c>
      <c r="Z32">
        <v>3</v>
      </c>
      <c r="AA32">
        <v>31</v>
      </c>
      <c r="AB32">
        <v>3</v>
      </c>
      <c r="AC32">
        <v>4</v>
      </c>
      <c r="AD32">
        <v>3</v>
      </c>
      <c r="AE32">
        <v>16799</v>
      </c>
      <c r="AF32">
        <v>16616</v>
      </c>
      <c r="AG32">
        <v>0</v>
      </c>
      <c r="AH32">
        <v>14</v>
      </c>
      <c r="AI32">
        <v>3</v>
      </c>
      <c r="AJ32">
        <v>3</v>
      </c>
      <c r="AK32">
        <v>80</v>
      </c>
      <c r="AL32">
        <v>1</v>
      </c>
      <c r="AM32">
        <v>21</v>
      </c>
      <c r="AN32">
        <v>3</v>
      </c>
      <c r="AO32">
        <v>20</v>
      </c>
      <c r="AP32">
        <v>7</v>
      </c>
      <c r="AQ32">
        <v>0</v>
      </c>
      <c r="AR32">
        <v>9</v>
      </c>
    </row>
    <row r="33" spans="1:44" x14ac:dyDescent="0.3">
      <c r="A33" t="s">
        <v>56</v>
      </c>
      <c r="B33" t="s">
        <v>45</v>
      </c>
      <c r="C33" t="s">
        <v>58</v>
      </c>
      <c r="D33" t="s">
        <v>59</v>
      </c>
      <c r="E33" t="s">
        <v>161</v>
      </c>
      <c r="F33" t="s">
        <v>49</v>
      </c>
      <c r="G33" t="s">
        <v>1046</v>
      </c>
      <c r="H33">
        <v>1352</v>
      </c>
      <c r="I33" t="s">
        <v>62</v>
      </c>
      <c r="J33" t="s">
        <v>95</v>
      </c>
      <c r="K33" t="s">
        <v>79</v>
      </c>
      <c r="L33" t="s">
        <v>44</v>
      </c>
      <c r="M33" t="s">
        <v>54</v>
      </c>
      <c r="N33">
        <v>2</v>
      </c>
      <c r="O33">
        <v>-2</v>
      </c>
      <c r="P33">
        <v>0</v>
      </c>
      <c r="Q33">
        <v>51</v>
      </c>
      <c r="R33">
        <v>0</v>
      </c>
      <c r="T33">
        <v>0</v>
      </c>
      <c r="U33">
        <v>1</v>
      </c>
      <c r="V33">
        <v>770</v>
      </c>
      <c r="W33">
        <v>5</v>
      </c>
      <c r="X33" t="s">
        <v>77</v>
      </c>
      <c r="Y33">
        <v>1</v>
      </c>
      <c r="Z33">
        <v>3</v>
      </c>
      <c r="AA33">
        <v>84</v>
      </c>
      <c r="AB33">
        <v>3</v>
      </c>
      <c r="AC33">
        <v>4</v>
      </c>
      <c r="AD33">
        <v>2</v>
      </c>
      <c r="AE33">
        <v>14026</v>
      </c>
      <c r="AF33">
        <v>17588</v>
      </c>
      <c r="AG33">
        <v>1</v>
      </c>
      <c r="AH33">
        <v>11</v>
      </c>
      <c r="AI33">
        <v>3</v>
      </c>
      <c r="AJ33">
        <v>2</v>
      </c>
      <c r="AK33">
        <v>80</v>
      </c>
      <c r="AL33">
        <v>1</v>
      </c>
      <c r="AM33">
        <v>33</v>
      </c>
      <c r="AN33">
        <v>3</v>
      </c>
      <c r="AO33">
        <v>33</v>
      </c>
      <c r="AP33">
        <v>9</v>
      </c>
      <c r="AQ33">
        <v>0</v>
      </c>
      <c r="AR33">
        <v>10</v>
      </c>
    </row>
    <row r="34" spans="1:44" x14ac:dyDescent="0.3">
      <c r="A34" t="s">
        <v>56</v>
      </c>
      <c r="B34" t="s">
        <v>45</v>
      </c>
      <c r="C34" t="s">
        <v>75</v>
      </c>
      <c r="D34" t="s">
        <v>59</v>
      </c>
      <c r="E34" t="s">
        <v>161</v>
      </c>
      <c r="F34" t="s">
        <v>49</v>
      </c>
      <c r="G34" t="s">
        <v>1040</v>
      </c>
      <c r="H34">
        <v>1338</v>
      </c>
      <c r="I34" t="s">
        <v>62</v>
      </c>
      <c r="J34" t="s">
        <v>95</v>
      </c>
      <c r="K34" t="s">
        <v>53</v>
      </c>
      <c r="L34" t="s">
        <v>56</v>
      </c>
      <c r="M34" t="s">
        <v>54</v>
      </c>
      <c r="N34">
        <v>4</v>
      </c>
      <c r="O34">
        <v>-2</v>
      </c>
      <c r="P34">
        <v>0</v>
      </c>
      <c r="Q34">
        <v>56</v>
      </c>
      <c r="R34">
        <v>0</v>
      </c>
      <c r="T34">
        <v>0</v>
      </c>
      <c r="U34">
        <v>1</v>
      </c>
      <c r="V34">
        <v>206</v>
      </c>
      <c r="W34">
        <v>8</v>
      </c>
      <c r="X34" t="s">
        <v>71</v>
      </c>
      <c r="Y34">
        <v>1</v>
      </c>
      <c r="Z34">
        <v>4</v>
      </c>
      <c r="AA34">
        <v>99</v>
      </c>
      <c r="AB34">
        <v>3</v>
      </c>
      <c r="AC34">
        <v>5</v>
      </c>
      <c r="AD34">
        <v>2</v>
      </c>
      <c r="AE34">
        <v>19717</v>
      </c>
      <c r="AF34">
        <v>4022</v>
      </c>
      <c r="AG34">
        <v>6</v>
      </c>
      <c r="AH34">
        <v>14</v>
      </c>
      <c r="AI34">
        <v>3</v>
      </c>
      <c r="AJ34">
        <v>1</v>
      </c>
      <c r="AK34">
        <v>80</v>
      </c>
      <c r="AL34">
        <v>0</v>
      </c>
      <c r="AM34">
        <v>36</v>
      </c>
      <c r="AN34">
        <v>3</v>
      </c>
      <c r="AO34">
        <v>7</v>
      </c>
      <c r="AP34">
        <v>3</v>
      </c>
      <c r="AQ34">
        <v>7</v>
      </c>
      <c r="AR34">
        <v>7</v>
      </c>
    </row>
    <row r="35" spans="1:44" x14ac:dyDescent="0.3">
      <c r="A35" t="s">
        <v>56</v>
      </c>
      <c r="B35" t="s">
        <v>45</v>
      </c>
      <c r="C35" t="s">
        <v>58</v>
      </c>
      <c r="D35" t="s">
        <v>59</v>
      </c>
      <c r="E35" t="s">
        <v>161</v>
      </c>
      <c r="F35" t="s">
        <v>49</v>
      </c>
      <c r="G35" t="s">
        <v>1027</v>
      </c>
      <c r="H35">
        <v>1314</v>
      </c>
      <c r="I35" t="s">
        <v>51</v>
      </c>
      <c r="J35" t="s">
        <v>163</v>
      </c>
      <c r="K35" t="s">
        <v>53</v>
      </c>
      <c r="L35" t="s">
        <v>56</v>
      </c>
      <c r="M35" t="s">
        <v>54</v>
      </c>
      <c r="N35">
        <v>3</v>
      </c>
      <c r="O35">
        <v>-2</v>
      </c>
      <c r="P35">
        <v>0</v>
      </c>
      <c r="Q35">
        <v>46</v>
      </c>
      <c r="R35">
        <v>0</v>
      </c>
      <c r="T35">
        <v>0</v>
      </c>
      <c r="U35">
        <v>1</v>
      </c>
      <c r="V35">
        <v>991</v>
      </c>
      <c r="W35">
        <v>1</v>
      </c>
      <c r="X35" t="s">
        <v>55</v>
      </c>
      <c r="Y35">
        <v>1</v>
      </c>
      <c r="Z35">
        <v>4</v>
      </c>
      <c r="AA35">
        <v>44</v>
      </c>
      <c r="AB35">
        <v>3</v>
      </c>
      <c r="AC35">
        <v>1</v>
      </c>
      <c r="AD35">
        <v>3</v>
      </c>
      <c r="AE35">
        <v>3423</v>
      </c>
      <c r="AF35">
        <v>22957</v>
      </c>
      <c r="AG35">
        <v>6</v>
      </c>
      <c r="AH35">
        <v>12</v>
      </c>
      <c r="AI35">
        <v>3</v>
      </c>
      <c r="AJ35">
        <v>3</v>
      </c>
      <c r="AK35">
        <v>80</v>
      </c>
      <c r="AL35">
        <v>0</v>
      </c>
      <c r="AM35">
        <v>10</v>
      </c>
      <c r="AN35">
        <v>4</v>
      </c>
      <c r="AO35">
        <v>7</v>
      </c>
      <c r="AP35">
        <v>6</v>
      </c>
      <c r="AQ35">
        <v>5</v>
      </c>
      <c r="AR35">
        <v>7</v>
      </c>
    </row>
    <row r="36" spans="1:44" x14ac:dyDescent="0.3">
      <c r="A36" t="s">
        <v>56</v>
      </c>
      <c r="B36" t="s">
        <v>57</v>
      </c>
      <c r="C36" t="s">
        <v>69</v>
      </c>
      <c r="D36" t="s">
        <v>59</v>
      </c>
      <c r="E36" t="s">
        <v>161</v>
      </c>
      <c r="F36" t="s">
        <v>49</v>
      </c>
      <c r="G36" t="s">
        <v>1007</v>
      </c>
      <c r="H36">
        <v>1289</v>
      </c>
      <c r="I36" t="s">
        <v>62</v>
      </c>
      <c r="J36" t="s">
        <v>163</v>
      </c>
      <c r="K36" t="s">
        <v>64</v>
      </c>
      <c r="L36" t="s">
        <v>56</v>
      </c>
      <c r="M36" t="s">
        <v>54</v>
      </c>
      <c r="N36">
        <v>5</v>
      </c>
      <c r="O36">
        <v>-2</v>
      </c>
      <c r="P36">
        <v>0</v>
      </c>
      <c r="Q36">
        <v>34</v>
      </c>
      <c r="R36">
        <v>0</v>
      </c>
      <c r="T36">
        <v>0</v>
      </c>
      <c r="U36">
        <v>1</v>
      </c>
      <c r="V36">
        <v>648</v>
      </c>
      <c r="W36">
        <v>11</v>
      </c>
      <c r="X36" t="s">
        <v>77</v>
      </c>
      <c r="Y36">
        <v>1</v>
      </c>
      <c r="Z36">
        <v>3</v>
      </c>
      <c r="AA36">
        <v>56</v>
      </c>
      <c r="AB36">
        <v>2</v>
      </c>
      <c r="AC36">
        <v>2</v>
      </c>
      <c r="AD36">
        <v>2</v>
      </c>
      <c r="AE36">
        <v>4490</v>
      </c>
      <c r="AF36">
        <v>21833</v>
      </c>
      <c r="AG36">
        <v>4</v>
      </c>
      <c r="AH36">
        <v>11</v>
      </c>
      <c r="AI36">
        <v>3</v>
      </c>
      <c r="AJ36">
        <v>4</v>
      </c>
      <c r="AK36">
        <v>80</v>
      </c>
      <c r="AL36">
        <v>2</v>
      </c>
      <c r="AM36">
        <v>14</v>
      </c>
      <c r="AN36">
        <v>4</v>
      </c>
      <c r="AO36">
        <v>10</v>
      </c>
      <c r="AP36">
        <v>9</v>
      </c>
      <c r="AQ36">
        <v>1</v>
      </c>
      <c r="AR36">
        <v>8</v>
      </c>
    </row>
    <row r="37" spans="1:44" x14ac:dyDescent="0.3">
      <c r="A37" t="s">
        <v>56</v>
      </c>
      <c r="B37" t="s">
        <v>91</v>
      </c>
      <c r="C37" t="s">
        <v>46</v>
      </c>
      <c r="D37" t="s">
        <v>59</v>
      </c>
      <c r="E37" t="s">
        <v>161</v>
      </c>
      <c r="F37" t="s">
        <v>72</v>
      </c>
      <c r="G37" t="s">
        <v>962</v>
      </c>
      <c r="H37">
        <v>1231</v>
      </c>
      <c r="I37" t="s">
        <v>62</v>
      </c>
      <c r="J37" t="s">
        <v>163</v>
      </c>
      <c r="K37" t="s">
        <v>64</v>
      </c>
      <c r="L37" t="s">
        <v>56</v>
      </c>
      <c r="M37" t="s">
        <v>54</v>
      </c>
      <c r="N37">
        <v>3</v>
      </c>
      <c r="O37">
        <v>-2</v>
      </c>
      <c r="P37">
        <v>0</v>
      </c>
      <c r="Q37">
        <v>42</v>
      </c>
      <c r="R37">
        <v>0</v>
      </c>
      <c r="T37">
        <v>0</v>
      </c>
      <c r="U37">
        <v>1</v>
      </c>
      <c r="V37">
        <v>179</v>
      </c>
      <c r="W37">
        <v>2</v>
      </c>
      <c r="X37" t="s">
        <v>134</v>
      </c>
      <c r="Y37">
        <v>1</v>
      </c>
      <c r="Z37">
        <v>4</v>
      </c>
      <c r="AA37">
        <v>79</v>
      </c>
      <c r="AB37">
        <v>4</v>
      </c>
      <c r="AC37">
        <v>2</v>
      </c>
      <c r="AD37">
        <v>3</v>
      </c>
      <c r="AE37">
        <v>6272</v>
      </c>
      <c r="AF37">
        <v>12858</v>
      </c>
      <c r="AG37">
        <v>7</v>
      </c>
      <c r="AH37">
        <v>16</v>
      </c>
      <c r="AI37">
        <v>3</v>
      </c>
      <c r="AJ37">
        <v>1</v>
      </c>
      <c r="AK37">
        <v>80</v>
      </c>
      <c r="AL37">
        <v>1</v>
      </c>
      <c r="AM37">
        <v>10</v>
      </c>
      <c r="AN37">
        <v>4</v>
      </c>
      <c r="AO37">
        <v>4</v>
      </c>
      <c r="AP37">
        <v>3</v>
      </c>
      <c r="AQ37">
        <v>0</v>
      </c>
      <c r="AR37">
        <v>3</v>
      </c>
    </row>
    <row r="38" spans="1:44" x14ac:dyDescent="0.3">
      <c r="A38" t="s">
        <v>56</v>
      </c>
      <c r="B38" t="s">
        <v>45</v>
      </c>
      <c r="C38" t="s">
        <v>69</v>
      </c>
      <c r="D38" t="s">
        <v>59</v>
      </c>
      <c r="E38" t="s">
        <v>161</v>
      </c>
      <c r="F38" t="s">
        <v>163</v>
      </c>
      <c r="G38" t="s">
        <v>947</v>
      </c>
      <c r="H38">
        <v>1207</v>
      </c>
      <c r="I38" t="s">
        <v>62</v>
      </c>
      <c r="J38" t="s">
        <v>163</v>
      </c>
      <c r="K38" t="s">
        <v>64</v>
      </c>
      <c r="L38" t="s">
        <v>56</v>
      </c>
      <c r="M38" t="s">
        <v>54</v>
      </c>
      <c r="N38">
        <v>2</v>
      </c>
      <c r="O38">
        <v>-2</v>
      </c>
      <c r="P38">
        <v>0</v>
      </c>
      <c r="Q38">
        <v>33</v>
      </c>
      <c r="R38">
        <v>0</v>
      </c>
      <c r="T38">
        <v>0</v>
      </c>
      <c r="U38">
        <v>1</v>
      </c>
      <c r="V38">
        <v>147</v>
      </c>
      <c r="W38">
        <v>2</v>
      </c>
      <c r="X38" t="s">
        <v>77</v>
      </c>
      <c r="Y38">
        <v>1</v>
      </c>
      <c r="Z38">
        <v>2</v>
      </c>
      <c r="AA38">
        <v>99</v>
      </c>
      <c r="AB38">
        <v>3</v>
      </c>
      <c r="AC38">
        <v>1</v>
      </c>
      <c r="AD38">
        <v>3</v>
      </c>
      <c r="AE38">
        <v>3600</v>
      </c>
      <c r="AF38">
        <v>8429</v>
      </c>
      <c r="AG38">
        <v>1</v>
      </c>
      <c r="AH38">
        <v>13</v>
      </c>
      <c r="AI38">
        <v>3</v>
      </c>
      <c r="AJ38">
        <v>4</v>
      </c>
      <c r="AK38">
        <v>80</v>
      </c>
      <c r="AL38">
        <v>1</v>
      </c>
      <c r="AM38">
        <v>5</v>
      </c>
      <c r="AN38">
        <v>3</v>
      </c>
      <c r="AO38">
        <v>5</v>
      </c>
      <c r="AP38">
        <v>4</v>
      </c>
      <c r="AQ38">
        <v>1</v>
      </c>
      <c r="AR38">
        <v>4</v>
      </c>
    </row>
    <row r="39" spans="1:44" x14ac:dyDescent="0.3">
      <c r="A39" t="s">
        <v>56</v>
      </c>
      <c r="B39" t="s">
        <v>45</v>
      </c>
      <c r="C39" t="s">
        <v>46</v>
      </c>
      <c r="D39" t="s">
        <v>59</v>
      </c>
      <c r="E39" t="s">
        <v>161</v>
      </c>
      <c r="F39" t="s">
        <v>113</v>
      </c>
      <c r="G39" t="s">
        <v>919</v>
      </c>
      <c r="H39">
        <v>1164</v>
      </c>
      <c r="I39" t="s">
        <v>62</v>
      </c>
      <c r="J39" t="s">
        <v>163</v>
      </c>
      <c r="K39" t="s">
        <v>53</v>
      </c>
      <c r="L39" t="s">
        <v>56</v>
      </c>
      <c r="M39" t="s">
        <v>54</v>
      </c>
      <c r="N39">
        <v>2</v>
      </c>
      <c r="O39">
        <v>-2</v>
      </c>
      <c r="P39">
        <v>0</v>
      </c>
      <c r="Q39">
        <v>35</v>
      </c>
      <c r="R39">
        <v>0</v>
      </c>
      <c r="T39">
        <v>0</v>
      </c>
      <c r="U39">
        <v>1</v>
      </c>
      <c r="V39">
        <v>528</v>
      </c>
      <c r="W39">
        <v>8</v>
      </c>
      <c r="X39" t="s">
        <v>71</v>
      </c>
      <c r="Y39">
        <v>1</v>
      </c>
      <c r="Z39">
        <v>4</v>
      </c>
      <c r="AA39">
        <v>100</v>
      </c>
      <c r="AB39">
        <v>3</v>
      </c>
      <c r="AC39">
        <v>1</v>
      </c>
      <c r="AD39">
        <v>4</v>
      </c>
      <c r="AE39">
        <v>4323</v>
      </c>
      <c r="AF39">
        <v>7108</v>
      </c>
      <c r="AG39">
        <v>1</v>
      </c>
      <c r="AH39">
        <v>17</v>
      </c>
      <c r="AI39">
        <v>3</v>
      </c>
      <c r="AJ39">
        <v>2</v>
      </c>
      <c r="AK39">
        <v>80</v>
      </c>
      <c r="AL39">
        <v>0</v>
      </c>
      <c r="AM39">
        <v>6</v>
      </c>
      <c r="AN39">
        <v>1</v>
      </c>
      <c r="AO39">
        <v>5</v>
      </c>
      <c r="AP39">
        <v>4</v>
      </c>
      <c r="AQ39">
        <v>1</v>
      </c>
      <c r="AR39">
        <v>4</v>
      </c>
    </row>
    <row r="40" spans="1:44" x14ac:dyDescent="0.3">
      <c r="A40" t="s">
        <v>56</v>
      </c>
      <c r="B40" t="s">
        <v>45</v>
      </c>
      <c r="C40" t="s">
        <v>46</v>
      </c>
      <c r="D40" t="s">
        <v>59</v>
      </c>
      <c r="E40" t="s">
        <v>161</v>
      </c>
      <c r="F40" t="s">
        <v>163</v>
      </c>
      <c r="G40" t="s">
        <v>910</v>
      </c>
      <c r="H40">
        <v>1152</v>
      </c>
      <c r="I40" t="s">
        <v>62</v>
      </c>
      <c r="J40" t="s">
        <v>163</v>
      </c>
      <c r="K40" t="s">
        <v>64</v>
      </c>
      <c r="L40" t="s">
        <v>56</v>
      </c>
      <c r="M40" t="s">
        <v>54</v>
      </c>
      <c r="N40">
        <v>2</v>
      </c>
      <c r="O40">
        <v>-2</v>
      </c>
      <c r="P40">
        <v>0</v>
      </c>
      <c r="Q40">
        <v>38</v>
      </c>
      <c r="R40">
        <v>0</v>
      </c>
      <c r="T40">
        <v>0</v>
      </c>
      <c r="U40">
        <v>1</v>
      </c>
      <c r="V40">
        <v>433</v>
      </c>
      <c r="W40">
        <v>1</v>
      </c>
      <c r="X40" t="s">
        <v>77</v>
      </c>
      <c r="Y40">
        <v>1</v>
      </c>
      <c r="Z40">
        <v>3</v>
      </c>
      <c r="AA40">
        <v>37</v>
      </c>
      <c r="AB40">
        <v>4</v>
      </c>
      <c r="AC40">
        <v>1</v>
      </c>
      <c r="AD40">
        <v>3</v>
      </c>
      <c r="AE40">
        <v>2844</v>
      </c>
      <c r="AF40">
        <v>6004</v>
      </c>
      <c r="AG40">
        <v>1</v>
      </c>
      <c r="AH40">
        <v>13</v>
      </c>
      <c r="AI40">
        <v>3</v>
      </c>
      <c r="AJ40">
        <v>4</v>
      </c>
      <c r="AK40">
        <v>80</v>
      </c>
      <c r="AL40">
        <v>1</v>
      </c>
      <c r="AM40">
        <v>7</v>
      </c>
      <c r="AN40">
        <v>4</v>
      </c>
      <c r="AO40">
        <v>7</v>
      </c>
      <c r="AP40">
        <v>6</v>
      </c>
      <c r="AQ40">
        <v>5</v>
      </c>
      <c r="AR40">
        <v>0</v>
      </c>
    </row>
    <row r="41" spans="1:44" x14ac:dyDescent="0.3">
      <c r="A41" t="s">
        <v>44</v>
      </c>
      <c r="B41" t="s">
        <v>45</v>
      </c>
      <c r="C41" t="s">
        <v>46</v>
      </c>
      <c r="D41" t="s">
        <v>47</v>
      </c>
      <c r="E41" t="s">
        <v>161</v>
      </c>
      <c r="F41" t="s">
        <v>72</v>
      </c>
      <c r="G41" t="s">
        <v>873</v>
      </c>
      <c r="H41">
        <v>1098</v>
      </c>
      <c r="I41" t="s">
        <v>62</v>
      </c>
      <c r="J41" t="s">
        <v>163</v>
      </c>
      <c r="K41" t="s">
        <v>64</v>
      </c>
      <c r="L41" t="s">
        <v>56</v>
      </c>
      <c r="M41" t="s">
        <v>54</v>
      </c>
      <c r="N41">
        <v>1</v>
      </c>
      <c r="O41">
        <v>-2</v>
      </c>
      <c r="P41">
        <v>0</v>
      </c>
      <c r="Q41">
        <v>44</v>
      </c>
      <c r="R41">
        <v>1</v>
      </c>
      <c r="S41">
        <v>1</v>
      </c>
      <c r="T41">
        <v>1</v>
      </c>
      <c r="U41">
        <v>0</v>
      </c>
      <c r="V41">
        <v>1376</v>
      </c>
      <c r="W41">
        <v>1</v>
      </c>
      <c r="X41" t="s">
        <v>55</v>
      </c>
      <c r="Y41">
        <v>1</v>
      </c>
      <c r="Z41">
        <v>2</v>
      </c>
      <c r="AA41">
        <v>91</v>
      </c>
      <c r="AB41">
        <v>2</v>
      </c>
      <c r="AC41">
        <v>3</v>
      </c>
      <c r="AD41">
        <v>3</v>
      </c>
      <c r="AE41">
        <v>10482</v>
      </c>
      <c r="AF41">
        <v>2326</v>
      </c>
      <c r="AG41">
        <v>9</v>
      </c>
      <c r="AH41">
        <v>14</v>
      </c>
      <c r="AI41">
        <v>3</v>
      </c>
      <c r="AJ41">
        <v>4</v>
      </c>
      <c r="AK41">
        <v>80</v>
      </c>
      <c r="AL41">
        <v>1</v>
      </c>
      <c r="AM41">
        <v>24</v>
      </c>
      <c r="AN41">
        <v>3</v>
      </c>
      <c r="AO41">
        <v>20</v>
      </c>
      <c r="AP41">
        <v>6</v>
      </c>
      <c r="AQ41">
        <v>3</v>
      </c>
      <c r="AR41">
        <v>6</v>
      </c>
    </row>
    <row r="42" spans="1:44" x14ac:dyDescent="0.3">
      <c r="A42" t="s">
        <v>56</v>
      </c>
      <c r="B42" t="s">
        <v>45</v>
      </c>
      <c r="C42" t="s">
        <v>58</v>
      </c>
      <c r="D42" t="s">
        <v>59</v>
      </c>
      <c r="E42" t="s">
        <v>161</v>
      </c>
      <c r="F42" t="s">
        <v>72</v>
      </c>
      <c r="G42" t="s">
        <v>843</v>
      </c>
      <c r="H42">
        <v>1049</v>
      </c>
      <c r="I42" t="s">
        <v>62</v>
      </c>
      <c r="J42" t="s">
        <v>163</v>
      </c>
      <c r="K42" t="s">
        <v>53</v>
      </c>
      <c r="L42" t="s">
        <v>56</v>
      </c>
      <c r="M42" t="s">
        <v>54</v>
      </c>
      <c r="N42">
        <v>3</v>
      </c>
      <c r="O42">
        <v>-2</v>
      </c>
      <c r="P42">
        <v>0</v>
      </c>
      <c r="Q42">
        <v>45</v>
      </c>
      <c r="R42">
        <v>0</v>
      </c>
      <c r="T42">
        <v>0</v>
      </c>
      <c r="U42">
        <v>1</v>
      </c>
      <c r="V42">
        <v>788</v>
      </c>
      <c r="W42">
        <v>24</v>
      </c>
      <c r="X42" t="s">
        <v>71</v>
      </c>
      <c r="Y42">
        <v>1</v>
      </c>
      <c r="Z42">
        <v>2</v>
      </c>
      <c r="AA42">
        <v>36</v>
      </c>
      <c r="AB42">
        <v>3</v>
      </c>
      <c r="AC42">
        <v>1</v>
      </c>
      <c r="AD42">
        <v>3</v>
      </c>
      <c r="AE42">
        <v>2177</v>
      </c>
      <c r="AF42">
        <v>8318</v>
      </c>
      <c r="AG42">
        <v>1</v>
      </c>
      <c r="AH42">
        <v>16</v>
      </c>
      <c r="AI42">
        <v>3</v>
      </c>
      <c r="AJ42">
        <v>1</v>
      </c>
      <c r="AK42">
        <v>80</v>
      </c>
      <c r="AL42">
        <v>0</v>
      </c>
      <c r="AM42">
        <v>6</v>
      </c>
      <c r="AN42">
        <v>3</v>
      </c>
      <c r="AO42">
        <v>6</v>
      </c>
      <c r="AP42">
        <v>3</v>
      </c>
      <c r="AQ42">
        <v>0</v>
      </c>
      <c r="AR42">
        <v>4</v>
      </c>
    </row>
    <row r="43" spans="1:44" x14ac:dyDescent="0.3">
      <c r="A43" t="s">
        <v>56</v>
      </c>
      <c r="B43" t="s">
        <v>45</v>
      </c>
      <c r="C43" t="s">
        <v>69</v>
      </c>
      <c r="D43" t="s">
        <v>59</v>
      </c>
      <c r="E43" t="s">
        <v>161</v>
      </c>
      <c r="F43" t="s">
        <v>163</v>
      </c>
      <c r="G43" t="s">
        <v>739</v>
      </c>
      <c r="H43">
        <v>910</v>
      </c>
      <c r="I43" t="s">
        <v>62</v>
      </c>
      <c r="J43" t="s">
        <v>163</v>
      </c>
      <c r="K43" t="s">
        <v>79</v>
      </c>
      <c r="L43" t="s">
        <v>44</v>
      </c>
      <c r="M43" t="s">
        <v>54</v>
      </c>
      <c r="N43">
        <v>4</v>
      </c>
      <c r="O43">
        <v>-2</v>
      </c>
      <c r="P43">
        <v>0</v>
      </c>
      <c r="Q43">
        <v>33</v>
      </c>
      <c r="R43">
        <v>0</v>
      </c>
      <c r="T43">
        <v>0</v>
      </c>
      <c r="U43">
        <v>1</v>
      </c>
      <c r="V43">
        <v>1075</v>
      </c>
      <c r="W43">
        <v>3</v>
      </c>
      <c r="X43" t="s">
        <v>55</v>
      </c>
      <c r="Y43">
        <v>1</v>
      </c>
      <c r="Z43">
        <v>4</v>
      </c>
      <c r="AA43">
        <v>57</v>
      </c>
      <c r="AB43">
        <v>3</v>
      </c>
      <c r="AC43">
        <v>1</v>
      </c>
      <c r="AD43">
        <v>3</v>
      </c>
      <c r="AE43">
        <v>2277</v>
      </c>
      <c r="AF43">
        <v>22650</v>
      </c>
      <c r="AG43">
        <v>3</v>
      </c>
      <c r="AH43">
        <v>11</v>
      </c>
      <c r="AI43">
        <v>3</v>
      </c>
      <c r="AJ43">
        <v>3</v>
      </c>
      <c r="AK43">
        <v>80</v>
      </c>
      <c r="AL43">
        <v>1</v>
      </c>
      <c r="AM43">
        <v>7</v>
      </c>
      <c r="AN43">
        <v>4</v>
      </c>
      <c r="AO43">
        <v>4</v>
      </c>
      <c r="AP43">
        <v>3</v>
      </c>
      <c r="AQ43">
        <v>0</v>
      </c>
      <c r="AR43">
        <v>3</v>
      </c>
    </row>
    <row r="44" spans="1:44" x14ac:dyDescent="0.3">
      <c r="A44" t="s">
        <v>56</v>
      </c>
      <c r="B44" t="s">
        <v>45</v>
      </c>
      <c r="C44" t="s">
        <v>46</v>
      </c>
      <c r="D44" t="s">
        <v>59</v>
      </c>
      <c r="E44" t="s">
        <v>161</v>
      </c>
      <c r="F44" t="s">
        <v>49</v>
      </c>
      <c r="G44" t="s">
        <v>738</v>
      </c>
      <c r="H44">
        <v>909</v>
      </c>
      <c r="I44" t="s">
        <v>51</v>
      </c>
      <c r="J44" t="s">
        <v>163</v>
      </c>
      <c r="K44" t="s">
        <v>64</v>
      </c>
      <c r="L44" t="s">
        <v>56</v>
      </c>
      <c r="M44" t="s">
        <v>54</v>
      </c>
      <c r="N44">
        <v>2</v>
      </c>
      <c r="O44">
        <v>-2</v>
      </c>
      <c r="P44">
        <v>0</v>
      </c>
      <c r="Q44">
        <v>39</v>
      </c>
      <c r="R44">
        <v>0</v>
      </c>
      <c r="T44">
        <v>0</v>
      </c>
      <c r="U44">
        <v>1</v>
      </c>
      <c r="V44">
        <v>1383</v>
      </c>
      <c r="W44">
        <v>2</v>
      </c>
      <c r="X44" t="s">
        <v>77</v>
      </c>
      <c r="Y44">
        <v>1</v>
      </c>
      <c r="Z44">
        <v>4</v>
      </c>
      <c r="AA44">
        <v>42</v>
      </c>
      <c r="AB44">
        <v>2</v>
      </c>
      <c r="AC44">
        <v>2</v>
      </c>
      <c r="AD44">
        <v>1</v>
      </c>
      <c r="AE44">
        <v>5204</v>
      </c>
      <c r="AF44">
        <v>7790</v>
      </c>
      <c r="AG44">
        <v>8</v>
      </c>
      <c r="AH44">
        <v>11</v>
      </c>
      <c r="AI44">
        <v>3</v>
      </c>
      <c r="AJ44">
        <v>3</v>
      </c>
      <c r="AK44">
        <v>80</v>
      </c>
      <c r="AL44">
        <v>2</v>
      </c>
      <c r="AM44">
        <v>13</v>
      </c>
      <c r="AN44">
        <v>3</v>
      </c>
      <c r="AO44">
        <v>5</v>
      </c>
      <c r="AP44">
        <v>4</v>
      </c>
      <c r="AQ44">
        <v>0</v>
      </c>
      <c r="AR44">
        <v>4</v>
      </c>
    </row>
    <row r="45" spans="1:44" x14ac:dyDescent="0.3">
      <c r="A45" t="s">
        <v>56</v>
      </c>
      <c r="B45" t="s">
        <v>45</v>
      </c>
      <c r="C45" t="s">
        <v>46</v>
      </c>
      <c r="D45" t="s">
        <v>59</v>
      </c>
      <c r="E45" t="s">
        <v>161</v>
      </c>
      <c r="F45" t="s">
        <v>49</v>
      </c>
      <c r="G45" t="s">
        <v>717</v>
      </c>
      <c r="H45">
        <v>878</v>
      </c>
      <c r="I45" t="s">
        <v>62</v>
      </c>
      <c r="J45" t="s">
        <v>163</v>
      </c>
      <c r="K45" t="s">
        <v>64</v>
      </c>
      <c r="L45" t="s">
        <v>56</v>
      </c>
      <c r="M45" t="s">
        <v>54</v>
      </c>
      <c r="N45">
        <v>3</v>
      </c>
      <c r="O45">
        <v>-2</v>
      </c>
      <c r="P45">
        <v>0</v>
      </c>
      <c r="Q45">
        <v>36</v>
      </c>
      <c r="R45">
        <v>0</v>
      </c>
      <c r="T45">
        <v>0</v>
      </c>
      <c r="U45">
        <v>1</v>
      </c>
      <c r="V45">
        <v>1278</v>
      </c>
      <c r="W45">
        <v>8</v>
      </c>
      <c r="X45" t="s">
        <v>77</v>
      </c>
      <c r="Y45">
        <v>1</v>
      </c>
      <c r="Z45">
        <v>1</v>
      </c>
      <c r="AA45">
        <v>77</v>
      </c>
      <c r="AB45">
        <v>2</v>
      </c>
      <c r="AC45">
        <v>1</v>
      </c>
      <c r="AD45">
        <v>1</v>
      </c>
      <c r="AE45">
        <v>2342</v>
      </c>
      <c r="AF45">
        <v>8635</v>
      </c>
      <c r="AG45">
        <v>0</v>
      </c>
      <c r="AH45">
        <v>21</v>
      </c>
      <c r="AI45">
        <v>4</v>
      </c>
      <c r="AJ45">
        <v>3</v>
      </c>
      <c r="AK45">
        <v>80</v>
      </c>
      <c r="AL45">
        <v>0</v>
      </c>
      <c r="AM45">
        <v>6</v>
      </c>
      <c r="AN45">
        <v>3</v>
      </c>
      <c r="AO45">
        <v>5</v>
      </c>
      <c r="AP45">
        <v>4</v>
      </c>
      <c r="AQ45">
        <v>0</v>
      </c>
      <c r="AR45">
        <v>3</v>
      </c>
    </row>
    <row r="46" spans="1:44" x14ac:dyDescent="0.3">
      <c r="A46" t="s">
        <v>56</v>
      </c>
      <c r="B46" t="s">
        <v>45</v>
      </c>
      <c r="C46" t="s">
        <v>69</v>
      </c>
      <c r="D46" t="s">
        <v>59</v>
      </c>
      <c r="E46" t="s">
        <v>161</v>
      </c>
      <c r="F46" t="s">
        <v>72</v>
      </c>
      <c r="G46" t="s">
        <v>713</v>
      </c>
      <c r="H46">
        <v>869</v>
      </c>
      <c r="I46" t="s">
        <v>62</v>
      </c>
      <c r="J46" t="s">
        <v>163</v>
      </c>
      <c r="K46" t="s">
        <v>79</v>
      </c>
      <c r="L46" t="s">
        <v>56</v>
      </c>
      <c r="M46" t="s">
        <v>54</v>
      </c>
      <c r="N46">
        <v>6</v>
      </c>
      <c r="O46">
        <v>-2</v>
      </c>
      <c r="P46">
        <v>0</v>
      </c>
      <c r="Q46">
        <v>28</v>
      </c>
      <c r="R46">
        <v>0</v>
      </c>
      <c r="T46">
        <v>0</v>
      </c>
      <c r="U46">
        <v>1</v>
      </c>
      <c r="V46">
        <v>1169</v>
      </c>
      <c r="W46">
        <v>8</v>
      </c>
      <c r="X46" t="s">
        <v>55</v>
      </c>
      <c r="Y46">
        <v>1</v>
      </c>
      <c r="Z46">
        <v>2</v>
      </c>
      <c r="AA46">
        <v>63</v>
      </c>
      <c r="AB46">
        <v>2</v>
      </c>
      <c r="AC46">
        <v>1</v>
      </c>
      <c r="AD46">
        <v>4</v>
      </c>
      <c r="AE46">
        <v>4936</v>
      </c>
      <c r="AF46">
        <v>23965</v>
      </c>
      <c r="AG46">
        <v>1</v>
      </c>
      <c r="AH46">
        <v>13</v>
      </c>
      <c r="AI46">
        <v>3</v>
      </c>
      <c r="AJ46">
        <v>4</v>
      </c>
      <c r="AK46">
        <v>80</v>
      </c>
      <c r="AL46">
        <v>1</v>
      </c>
      <c r="AM46">
        <v>6</v>
      </c>
      <c r="AN46">
        <v>3</v>
      </c>
      <c r="AO46">
        <v>5</v>
      </c>
      <c r="AP46">
        <v>1</v>
      </c>
      <c r="AQ46">
        <v>0</v>
      </c>
      <c r="AR46">
        <v>4</v>
      </c>
    </row>
    <row r="47" spans="1:44" x14ac:dyDescent="0.3">
      <c r="A47" t="s">
        <v>56</v>
      </c>
      <c r="B47" t="s">
        <v>45</v>
      </c>
      <c r="C47" t="s">
        <v>69</v>
      </c>
      <c r="D47" t="s">
        <v>59</v>
      </c>
      <c r="E47" t="s">
        <v>161</v>
      </c>
      <c r="F47" t="s">
        <v>163</v>
      </c>
      <c r="G47" t="s">
        <v>697</v>
      </c>
      <c r="H47">
        <v>847</v>
      </c>
      <c r="I47" t="s">
        <v>62</v>
      </c>
      <c r="J47" t="s">
        <v>163</v>
      </c>
      <c r="K47" t="s">
        <v>64</v>
      </c>
      <c r="L47" t="s">
        <v>56</v>
      </c>
      <c r="M47" t="s">
        <v>54</v>
      </c>
      <c r="N47">
        <v>1</v>
      </c>
      <c r="O47">
        <v>-2</v>
      </c>
      <c r="P47">
        <v>0</v>
      </c>
      <c r="Q47">
        <v>34</v>
      </c>
      <c r="R47">
        <v>0</v>
      </c>
      <c r="T47">
        <v>0</v>
      </c>
      <c r="U47">
        <v>1</v>
      </c>
      <c r="V47">
        <v>829</v>
      </c>
      <c r="W47">
        <v>3</v>
      </c>
      <c r="X47" t="s">
        <v>55</v>
      </c>
      <c r="Y47">
        <v>1</v>
      </c>
      <c r="Z47">
        <v>3</v>
      </c>
      <c r="AA47">
        <v>88</v>
      </c>
      <c r="AB47">
        <v>3</v>
      </c>
      <c r="AC47">
        <v>1</v>
      </c>
      <c r="AD47">
        <v>4</v>
      </c>
      <c r="AE47">
        <v>3737</v>
      </c>
      <c r="AF47">
        <v>2243</v>
      </c>
      <c r="AG47">
        <v>0</v>
      </c>
      <c r="AH47">
        <v>19</v>
      </c>
      <c r="AI47">
        <v>3</v>
      </c>
      <c r="AJ47">
        <v>3</v>
      </c>
      <c r="AK47">
        <v>80</v>
      </c>
      <c r="AL47">
        <v>1</v>
      </c>
      <c r="AM47">
        <v>4</v>
      </c>
      <c r="AN47">
        <v>1</v>
      </c>
      <c r="AO47">
        <v>3</v>
      </c>
      <c r="AP47">
        <v>2</v>
      </c>
      <c r="AQ47">
        <v>0</v>
      </c>
      <c r="AR47">
        <v>2</v>
      </c>
    </row>
    <row r="48" spans="1:44" x14ac:dyDescent="0.3">
      <c r="A48" t="s">
        <v>56</v>
      </c>
      <c r="B48" t="s">
        <v>45</v>
      </c>
      <c r="C48" t="s">
        <v>46</v>
      </c>
      <c r="D48" t="s">
        <v>59</v>
      </c>
      <c r="E48" t="s">
        <v>161</v>
      </c>
      <c r="F48" t="s">
        <v>163</v>
      </c>
      <c r="G48" t="s">
        <v>683</v>
      </c>
      <c r="H48">
        <v>829</v>
      </c>
      <c r="I48" t="s">
        <v>62</v>
      </c>
      <c r="J48" t="s">
        <v>163</v>
      </c>
      <c r="K48" t="s">
        <v>64</v>
      </c>
      <c r="L48" t="s">
        <v>56</v>
      </c>
      <c r="M48" t="s">
        <v>54</v>
      </c>
      <c r="N48">
        <v>2</v>
      </c>
      <c r="O48">
        <v>-2</v>
      </c>
      <c r="P48">
        <v>0</v>
      </c>
      <c r="Q48">
        <v>36</v>
      </c>
      <c r="R48">
        <v>0</v>
      </c>
      <c r="T48">
        <v>0</v>
      </c>
      <c r="U48">
        <v>1</v>
      </c>
      <c r="V48">
        <v>1041</v>
      </c>
      <c r="W48">
        <v>13</v>
      </c>
      <c r="X48" t="s">
        <v>77</v>
      </c>
      <c r="Y48">
        <v>1</v>
      </c>
      <c r="Z48">
        <v>3</v>
      </c>
      <c r="AA48">
        <v>36</v>
      </c>
      <c r="AB48">
        <v>3</v>
      </c>
      <c r="AC48">
        <v>1</v>
      </c>
      <c r="AD48">
        <v>3</v>
      </c>
      <c r="AE48">
        <v>2143</v>
      </c>
      <c r="AF48">
        <v>25527</v>
      </c>
      <c r="AG48">
        <v>4</v>
      </c>
      <c r="AH48">
        <v>13</v>
      </c>
      <c r="AI48">
        <v>3</v>
      </c>
      <c r="AJ48">
        <v>2</v>
      </c>
      <c r="AK48">
        <v>80</v>
      </c>
      <c r="AL48">
        <v>1</v>
      </c>
      <c r="AM48">
        <v>8</v>
      </c>
      <c r="AN48">
        <v>3</v>
      </c>
      <c r="AO48">
        <v>5</v>
      </c>
      <c r="AP48">
        <v>2</v>
      </c>
      <c r="AQ48">
        <v>0</v>
      </c>
      <c r="AR48">
        <v>4</v>
      </c>
    </row>
    <row r="49" spans="1:44" x14ac:dyDescent="0.3">
      <c r="A49" t="s">
        <v>56</v>
      </c>
      <c r="B49" t="s">
        <v>45</v>
      </c>
      <c r="C49" t="s">
        <v>46</v>
      </c>
      <c r="D49" t="s">
        <v>59</v>
      </c>
      <c r="E49" t="s">
        <v>161</v>
      </c>
      <c r="F49" t="s">
        <v>163</v>
      </c>
      <c r="G49" t="s">
        <v>635</v>
      </c>
      <c r="H49">
        <v>760</v>
      </c>
      <c r="I49" t="s">
        <v>51</v>
      </c>
      <c r="J49" t="s">
        <v>163</v>
      </c>
      <c r="K49" t="s">
        <v>64</v>
      </c>
      <c r="L49" t="s">
        <v>56</v>
      </c>
      <c r="M49" t="s">
        <v>54</v>
      </c>
      <c r="N49">
        <v>3</v>
      </c>
      <c r="O49">
        <v>-2</v>
      </c>
      <c r="P49">
        <v>0</v>
      </c>
      <c r="Q49">
        <v>39</v>
      </c>
      <c r="R49">
        <v>0</v>
      </c>
      <c r="T49">
        <v>0</v>
      </c>
      <c r="U49">
        <v>1</v>
      </c>
      <c r="V49">
        <v>141</v>
      </c>
      <c r="W49">
        <v>3</v>
      </c>
      <c r="X49" t="s">
        <v>77</v>
      </c>
      <c r="Y49">
        <v>1</v>
      </c>
      <c r="Z49">
        <v>3</v>
      </c>
      <c r="AA49">
        <v>44</v>
      </c>
      <c r="AB49">
        <v>4</v>
      </c>
      <c r="AC49">
        <v>2</v>
      </c>
      <c r="AD49">
        <v>3</v>
      </c>
      <c r="AE49">
        <v>6389</v>
      </c>
      <c r="AF49">
        <v>18767</v>
      </c>
      <c r="AG49">
        <v>9</v>
      </c>
      <c r="AH49">
        <v>15</v>
      </c>
      <c r="AI49">
        <v>3</v>
      </c>
      <c r="AJ49">
        <v>3</v>
      </c>
      <c r="AK49">
        <v>80</v>
      </c>
      <c r="AL49">
        <v>1</v>
      </c>
      <c r="AM49">
        <v>12</v>
      </c>
      <c r="AN49">
        <v>1</v>
      </c>
      <c r="AO49">
        <v>8</v>
      </c>
      <c r="AP49">
        <v>3</v>
      </c>
      <c r="AQ49">
        <v>3</v>
      </c>
      <c r="AR49">
        <v>6</v>
      </c>
    </row>
    <row r="50" spans="1:44" x14ac:dyDescent="0.3">
      <c r="A50" t="s">
        <v>56</v>
      </c>
      <c r="B50" t="s">
        <v>45</v>
      </c>
      <c r="C50" t="s">
        <v>46</v>
      </c>
      <c r="D50" t="s">
        <v>59</v>
      </c>
      <c r="E50" t="s">
        <v>161</v>
      </c>
      <c r="F50" t="s">
        <v>163</v>
      </c>
      <c r="G50" t="s">
        <v>622</v>
      </c>
      <c r="H50">
        <v>734</v>
      </c>
      <c r="I50" t="s">
        <v>62</v>
      </c>
      <c r="J50" t="s">
        <v>95</v>
      </c>
      <c r="K50" t="s">
        <v>64</v>
      </c>
      <c r="L50" t="s">
        <v>56</v>
      </c>
      <c r="M50" t="s">
        <v>54</v>
      </c>
      <c r="N50">
        <v>3</v>
      </c>
      <c r="O50">
        <v>-2</v>
      </c>
      <c r="P50">
        <v>0</v>
      </c>
      <c r="Q50">
        <v>41</v>
      </c>
      <c r="R50">
        <v>0</v>
      </c>
      <c r="T50">
        <v>0</v>
      </c>
      <c r="U50">
        <v>1</v>
      </c>
      <c r="V50">
        <v>314</v>
      </c>
      <c r="W50">
        <v>1</v>
      </c>
      <c r="X50" t="s">
        <v>77</v>
      </c>
      <c r="Y50">
        <v>1</v>
      </c>
      <c r="Z50">
        <v>4</v>
      </c>
      <c r="AA50">
        <v>59</v>
      </c>
      <c r="AB50">
        <v>2</v>
      </c>
      <c r="AC50">
        <v>5</v>
      </c>
      <c r="AD50">
        <v>3</v>
      </c>
      <c r="AE50">
        <v>19189</v>
      </c>
      <c r="AF50">
        <v>19562</v>
      </c>
      <c r="AG50">
        <v>1</v>
      </c>
      <c r="AH50">
        <v>12</v>
      </c>
      <c r="AI50">
        <v>3</v>
      </c>
      <c r="AJ50">
        <v>2</v>
      </c>
      <c r="AK50">
        <v>80</v>
      </c>
      <c r="AL50">
        <v>1</v>
      </c>
      <c r="AM50">
        <v>22</v>
      </c>
      <c r="AN50">
        <v>3</v>
      </c>
      <c r="AO50">
        <v>22</v>
      </c>
      <c r="AP50">
        <v>7</v>
      </c>
      <c r="AQ50">
        <v>2</v>
      </c>
      <c r="AR50">
        <v>10</v>
      </c>
    </row>
    <row r="51" spans="1:44" x14ac:dyDescent="0.3">
      <c r="A51" t="s">
        <v>56</v>
      </c>
      <c r="B51" t="s">
        <v>45</v>
      </c>
      <c r="C51" t="s">
        <v>46</v>
      </c>
      <c r="D51" t="s">
        <v>59</v>
      </c>
      <c r="E51" t="s">
        <v>161</v>
      </c>
      <c r="F51" t="s">
        <v>163</v>
      </c>
      <c r="G51" t="s">
        <v>619</v>
      </c>
      <c r="H51">
        <v>731</v>
      </c>
      <c r="I51" t="s">
        <v>62</v>
      </c>
      <c r="J51" t="s">
        <v>95</v>
      </c>
      <c r="K51" t="s">
        <v>79</v>
      </c>
      <c r="L51" t="s">
        <v>56</v>
      </c>
      <c r="M51" t="s">
        <v>54</v>
      </c>
      <c r="N51">
        <v>2</v>
      </c>
      <c r="O51">
        <v>-2</v>
      </c>
      <c r="P51">
        <v>0</v>
      </c>
      <c r="Q51">
        <v>41</v>
      </c>
      <c r="R51">
        <v>0</v>
      </c>
      <c r="T51">
        <v>0</v>
      </c>
      <c r="U51">
        <v>1</v>
      </c>
      <c r="V51">
        <v>427</v>
      </c>
      <c r="W51">
        <v>10</v>
      </c>
      <c r="X51" t="s">
        <v>71</v>
      </c>
      <c r="Y51">
        <v>1</v>
      </c>
      <c r="Z51">
        <v>2</v>
      </c>
      <c r="AA51">
        <v>73</v>
      </c>
      <c r="AB51">
        <v>2</v>
      </c>
      <c r="AC51">
        <v>5</v>
      </c>
      <c r="AD51">
        <v>4</v>
      </c>
      <c r="AE51">
        <v>19141</v>
      </c>
      <c r="AF51">
        <v>8861</v>
      </c>
      <c r="AG51">
        <v>3</v>
      </c>
      <c r="AH51">
        <v>15</v>
      </c>
      <c r="AI51">
        <v>3</v>
      </c>
      <c r="AJ51">
        <v>2</v>
      </c>
      <c r="AK51">
        <v>80</v>
      </c>
      <c r="AL51">
        <v>3</v>
      </c>
      <c r="AM51">
        <v>23</v>
      </c>
      <c r="AN51">
        <v>2</v>
      </c>
      <c r="AO51">
        <v>21</v>
      </c>
      <c r="AP51">
        <v>6</v>
      </c>
      <c r="AQ51">
        <v>12</v>
      </c>
      <c r="AR51">
        <v>6</v>
      </c>
    </row>
    <row r="52" spans="1:44" x14ac:dyDescent="0.3">
      <c r="A52" t="s">
        <v>56</v>
      </c>
      <c r="B52" t="s">
        <v>45</v>
      </c>
      <c r="C52" t="s">
        <v>58</v>
      </c>
      <c r="D52" t="s">
        <v>59</v>
      </c>
      <c r="E52" t="s">
        <v>161</v>
      </c>
      <c r="F52" t="s">
        <v>72</v>
      </c>
      <c r="G52" t="s">
        <v>594</v>
      </c>
      <c r="H52">
        <v>698</v>
      </c>
      <c r="I52" t="s">
        <v>62</v>
      </c>
      <c r="J52" t="s">
        <v>163</v>
      </c>
      <c r="K52" t="s">
        <v>64</v>
      </c>
      <c r="L52" t="s">
        <v>56</v>
      </c>
      <c r="M52" t="s">
        <v>54</v>
      </c>
      <c r="N52">
        <v>1</v>
      </c>
      <c r="O52">
        <v>-2</v>
      </c>
      <c r="P52">
        <v>0</v>
      </c>
      <c r="Q52">
        <v>54</v>
      </c>
      <c r="R52">
        <v>0</v>
      </c>
      <c r="T52">
        <v>0</v>
      </c>
      <c r="U52">
        <v>1</v>
      </c>
      <c r="V52">
        <v>397</v>
      </c>
      <c r="W52">
        <v>19</v>
      </c>
      <c r="X52" t="s">
        <v>71</v>
      </c>
      <c r="Y52">
        <v>1</v>
      </c>
      <c r="Z52">
        <v>3</v>
      </c>
      <c r="AA52">
        <v>88</v>
      </c>
      <c r="AB52">
        <v>3</v>
      </c>
      <c r="AC52">
        <v>3</v>
      </c>
      <c r="AD52">
        <v>3</v>
      </c>
      <c r="AE52">
        <v>10725</v>
      </c>
      <c r="AF52">
        <v>6729</v>
      </c>
      <c r="AG52">
        <v>2</v>
      </c>
      <c r="AH52">
        <v>15</v>
      </c>
      <c r="AI52">
        <v>3</v>
      </c>
      <c r="AJ52">
        <v>3</v>
      </c>
      <c r="AK52">
        <v>80</v>
      </c>
      <c r="AL52">
        <v>1</v>
      </c>
      <c r="AM52">
        <v>16</v>
      </c>
      <c r="AN52">
        <v>4</v>
      </c>
      <c r="AO52">
        <v>9</v>
      </c>
      <c r="AP52">
        <v>7</v>
      </c>
      <c r="AQ52">
        <v>7</v>
      </c>
      <c r="AR52">
        <v>1</v>
      </c>
    </row>
    <row r="53" spans="1:44" x14ac:dyDescent="0.3">
      <c r="A53" t="s">
        <v>56</v>
      </c>
      <c r="B53" t="s">
        <v>45</v>
      </c>
      <c r="C53" t="s">
        <v>46</v>
      </c>
      <c r="D53" t="s">
        <v>59</v>
      </c>
      <c r="E53" t="s">
        <v>161</v>
      </c>
      <c r="F53" t="s">
        <v>49</v>
      </c>
      <c r="G53" t="s">
        <v>577</v>
      </c>
      <c r="H53">
        <v>665</v>
      </c>
      <c r="I53" t="s">
        <v>51</v>
      </c>
      <c r="J53" t="s">
        <v>163</v>
      </c>
      <c r="K53" t="s">
        <v>53</v>
      </c>
      <c r="L53" t="s">
        <v>56</v>
      </c>
      <c r="M53" t="s">
        <v>54</v>
      </c>
      <c r="N53">
        <v>1</v>
      </c>
      <c r="O53">
        <v>-2</v>
      </c>
      <c r="P53">
        <v>0</v>
      </c>
      <c r="Q53">
        <v>44</v>
      </c>
      <c r="R53">
        <v>0</v>
      </c>
      <c r="T53">
        <v>0</v>
      </c>
      <c r="U53">
        <v>1</v>
      </c>
      <c r="V53">
        <v>1112</v>
      </c>
      <c r="W53">
        <v>1</v>
      </c>
      <c r="X53" t="s">
        <v>71</v>
      </c>
      <c r="Y53">
        <v>1</v>
      </c>
      <c r="Z53">
        <v>1</v>
      </c>
      <c r="AA53">
        <v>50</v>
      </c>
      <c r="AB53">
        <v>2</v>
      </c>
      <c r="AC53">
        <v>2</v>
      </c>
      <c r="AD53">
        <v>2</v>
      </c>
      <c r="AE53">
        <v>5985</v>
      </c>
      <c r="AF53">
        <v>26894</v>
      </c>
      <c r="AG53">
        <v>4</v>
      </c>
      <c r="AH53">
        <v>11</v>
      </c>
      <c r="AI53">
        <v>3</v>
      </c>
      <c r="AJ53">
        <v>2</v>
      </c>
      <c r="AK53">
        <v>80</v>
      </c>
      <c r="AL53">
        <v>0</v>
      </c>
      <c r="AM53">
        <v>10</v>
      </c>
      <c r="AN53">
        <v>4</v>
      </c>
      <c r="AO53">
        <v>2</v>
      </c>
      <c r="AP53">
        <v>2</v>
      </c>
      <c r="AQ53">
        <v>0</v>
      </c>
      <c r="AR53">
        <v>2</v>
      </c>
    </row>
    <row r="54" spans="1:44" x14ac:dyDescent="0.3">
      <c r="A54" t="s">
        <v>56</v>
      </c>
      <c r="B54" t="s">
        <v>57</v>
      </c>
      <c r="C54" t="s">
        <v>58</v>
      </c>
      <c r="D54" t="s">
        <v>59</v>
      </c>
      <c r="E54" t="s">
        <v>161</v>
      </c>
      <c r="F54" t="s">
        <v>72</v>
      </c>
      <c r="G54" t="s">
        <v>561</v>
      </c>
      <c r="H54">
        <v>644</v>
      </c>
      <c r="I54" t="s">
        <v>62</v>
      </c>
      <c r="J54" t="s">
        <v>95</v>
      </c>
      <c r="K54" t="s">
        <v>64</v>
      </c>
      <c r="L54" t="s">
        <v>56</v>
      </c>
      <c r="M54" t="s">
        <v>54</v>
      </c>
      <c r="N54">
        <v>2</v>
      </c>
      <c r="O54">
        <v>-2</v>
      </c>
      <c r="P54">
        <v>0</v>
      </c>
      <c r="Q54">
        <v>50</v>
      </c>
      <c r="R54">
        <v>0</v>
      </c>
      <c r="T54">
        <v>0</v>
      </c>
      <c r="U54">
        <v>1</v>
      </c>
      <c r="V54">
        <v>1246</v>
      </c>
      <c r="W54">
        <v>3</v>
      </c>
      <c r="X54" t="s">
        <v>77</v>
      </c>
      <c r="Y54">
        <v>1</v>
      </c>
      <c r="Z54">
        <v>1</v>
      </c>
      <c r="AA54">
        <v>99</v>
      </c>
      <c r="AB54">
        <v>3</v>
      </c>
      <c r="AC54">
        <v>5</v>
      </c>
      <c r="AD54">
        <v>3</v>
      </c>
      <c r="AE54">
        <v>18200</v>
      </c>
      <c r="AF54">
        <v>7999</v>
      </c>
      <c r="AG54">
        <v>1</v>
      </c>
      <c r="AH54">
        <v>11</v>
      </c>
      <c r="AI54">
        <v>3</v>
      </c>
      <c r="AJ54">
        <v>3</v>
      </c>
      <c r="AK54">
        <v>80</v>
      </c>
      <c r="AL54">
        <v>1</v>
      </c>
      <c r="AM54">
        <v>32</v>
      </c>
      <c r="AN54">
        <v>3</v>
      </c>
      <c r="AO54">
        <v>32</v>
      </c>
      <c r="AP54">
        <v>5</v>
      </c>
      <c r="AQ54">
        <v>10</v>
      </c>
      <c r="AR54">
        <v>7</v>
      </c>
    </row>
    <row r="55" spans="1:44" x14ac:dyDescent="0.3">
      <c r="A55" t="s">
        <v>44</v>
      </c>
      <c r="B55" t="s">
        <v>57</v>
      </c>
      <c r="C55" t="s">
        <v>69</v>
      </c>
      <c r="D55" t="s">
        <v>47</v>
      </c>
      <c r="E55" t="s">
        <v>161</v>
      </c>
      <c r="F55" t="s">
        <v>49</v>
      </c>
      <c r="G55" t="s">
        <v>537</v>
      </c>
      <c r="H55">
        <v>608</v>
      </c>
      <c r="I55" t="s">
        <v>51</v>
      </c>
      <c r="J55" t="s">
        <v>163</v>
      </c>
      <c r="K55" t="s">
        <v>79</v>
      </c>
      <c r="L55" t="s">
        <v>44</v>
      </c>
      <c r="M55" t="s">
        <v>54</v>
      </c>
      <c r="N55">
        <v>2</v>
      </c>
      <c r="O55">
        <v>-2</v>
      </c>
      <c r="P55">
        <v>0</v>
      </c>
      <c r="Q55">
        <v>26</v>
      </c>
      <c r="R55">
        <v>1</v>
      </c>
      <c r="S55">
        <v>1</v>
      </c>
      <c r="T55">
        <v>1</v>
      </c>
      <c r="U55">
        <v>0</v>
      </c>
      <c r="V55">
        <v>426</v>
      </c>
      <c r="W55">
        <v>17</v>
      </c>
      <c r="X55" t="s">
        <v>71</v>
      </c>
      <c r="Y55">
        <v>1</v>
      </c>
      <c r="Z55">
        <v>2</v>
      </c>
      <c r="AA55">
        <v>58</v>
      </c>
      <c r="AB55">
        <v>3</v>
      </c>
      <c r="AC55">
        <v>1</v>
      </c>
      <c r="AD55">
        <v>2</v>
      </c>
      <c r="AE55">
        <v>2741</v>
      </c>
      <c r="AF55">
        <v>22808</v>
      </c>
      <c r="AG55">
        <v>0</v>
      </c>
      <c r="AH55">
        <v>11</v>
      </c>
      <c r="AI55">
        <v>3</v>
      </c>
      <c r="AJ55">
        <v>2</v>
      </c>
      <c r="AK55">
        <v>80</v>
      </c>
      <c r="AL55">
        <v>1</v>
      </c>
      <c r="AM55">
        <v>8</v>
      </c>
      <c r="AN55">
        <v>2</v>
      </c>
      <c r="AO55">
        <v>7</v>
      </c>
      <c r="AP55">
        <v>7</v>
      </c>
      <c r="AQ55">
        <v>1</v>
      </c>
      <c r="AR55">
        <v>0</v>
      </c>
    </row>
    <row r="56" spans="1:44" x14ac:dyDescent="0.3">
      <c r="A56" t="s">
        <v>44</v>
      </c>
      <c r="B56" t="s">
        <v>57</v>
      </c>
      <c r="C56" t="s">
        <v>69</v>
      </c>
      <c r="D56" t="s">
        <v>47</v>
      </c>
      <c r="E56" t="s">
        <v>161</v>
      </c>
      <c r="F56" t="s">
        <v>163</v>
      </c>
      <c r="G56" t="s">
        <v>524</v>
      </c>
      <c r="H56">
        <v>590</v>
      </c>
      <c r="I56" t="s">
        <v>51</v>
      </c>
      <c r="J56" t="s">
        <v>163</v>
      </c>
      <c r="K56" t="s">
        <v>79</v>
      </c>
      <c r="L56" t="s">
        <v>44</v>
      </c>
      <c r="M56" t="s">
        <v>54</v>
      </c>
      <c r="N56">
        <v>2</v>
      </c>
      <c r="O56">
        <v>-2</v>
      </c>
      <c r="P56">
        <v>0</v>
      </c>
      <c r="Q56">
        <v>34</v>
      </c>
      <c r="R56">
        <v>1</v>
      </c>
      <c r="S56">
        <v>1</v>
      </c>
      <c r="T56">
        <v>1</v>
      </c>
      <c r="U56">
        <v>0</v>
      </c>
      <c r="V56">
        <v>988</v>
      </c>
      <c r="W56">
        <v>23</v>
      </c>
      <c r="X56" t="s">
        <v>77</v>
      </c>
      <c r="Y56">
        <v>1</v>
      </c>
      <c r="Z56">
        <v>2</v>
      </c>
      <c r="AA56">
        <v>43</v>
      </c>
      <c r="AB56">
        <v>3</v>
      </c>
      <c r="AC56">
        <v>3</v>
      </c>
      <c r="AD56">
        <v>3</v>
      </c>
      <c r="AE56">
        <v>9950</v>
      </c>
      <c r="AF56">
        <v>11533</v>
      </c>
      <c r="AG56">
        <v>9</v>
      </c>
      <c r="AH56">
        <v>15</v>
      </c>
      <c r="AI56">
        <v>3</v>
      </c>
      <c r="AJ56">
        <v>3</v>
      </c>
      <c r="AK56">
        <v>80</v>
      </c>
      <c r="AL56">
        <v>3</v>
      </c>
      <c r="AM56">
        <v>11</v>
      </c>
      <c r="AN56">
        <v>3</v>
      </c>
      <c r="AO56">
        <v>3</v>
      </c>
      <c r="AP56">
        <v>2</v>
      </c>
      <c r="AQ56">
        <v>0</v>
      </c>
      <c r="AR56">
        <v>2</v>
      </c>
    </row>
    <row r="57" spans="1:44" x14ac:dyDescent="0.3">
      <c r="A57" t="s">
        <v>44</v>
      </c>
      <c r="B57" t="s">
        <v>45</v>
      </c>
      <c r="C57" t="s">
        <v>92</v>
      </c>
      <c r="D57" t="s">
        <v>47</v>
      </c>
      <c r="E57" t="s">
        <v>161</v>
      </c>
      <c r="F57" t="s">
        <v>113</v>
      </c>
      <c r="G57" t="s">
        <v>506</v>
      </c>
      <c r="H57">
        <v>566</v>
      </c>
      <c r="I57" t="s">
        <v>62</v>
      </c>
      <c r="J57" t="s">
        <v>163</v>
      </c>
      <c r="K57" t="s">
        <v>53</v>
      </c>
      <c r="L57" t="s">
        <v>56</v>
      </c>
      <c r="M57" t="s">
        <v>54</v>
      </c>
      <c r="N57">
        <v>3</v>
      </c>
      <c r="O57">
        <v>-2</v>
      </c>
      <c r="P57">
        <v>0</v>
      </c>
      <c r="Q57">
        <v>19</v>
      </c>
      <c r="R57">
        <v>1</v>
      </c>
      <c r="S57">
        <v>1</v>
      </c>
      <c r="T57">
        <v>1</v>
      </c>
      <c r="U57">
        <v>0</v>
      </c>
      <c r="V57">
        <v>489</v>
      </c>
      <c r="W57">
        <v>2</v>
      </c>
      <c r="X57" t="s">
        <v>55</v>
      </c>
      <c r="Y57">
        <v>1</v>
      </c>
      <c r="Z57">
        <v>4</v>
      </c>
      <c r="AA57">
        <v>52</v>
      </c>
      <c r="AB57">
        <v>2</v>
      </c>
      <c r="AC57">
        <v>1</v>
      </c>
      <c r="AD57">
        <v>4</v>
      </c>
      <c r="AE57">
        <v>2564</v>
      </c>
      <c r="AF57">
        <v>18437</v>
      </c>
      <c r="AG57">
        <v>1</v>
      </c>
      <c r="AH57">
        <v>12</v>
      </c>
      <c r="AI57">
        <v>3</v>
      </c>
      <c r="AJ57">
        <v>3</v>
      </c>
      <c r="AK57">
        <v>80</v>
      </c>
      <c r="AL57">
        <v>0</v>
      </c>
      <c r="AM57">
        <v>1</v>
      </c>
      <c r="AN57">
        <v>4</v>
      </c>
      <c r="AO57">
        <v>1</v>
      </c>
      <c r="AP57">
        <v>0</v>
      </c>
      <c r="AQ57">
        <v>0</v>
      </c>
      <c r="AR57">
        <v>0</v>
      </c>
    </row>
    <row r="58" spans="1:44" x14ac:dyDescent="0.3">
      <c r="A58" t="s">
        <v>56</v>
      </c>
      <c r="B58" t="s">
        <v>45</v>
      </c>
      <c r="C58" t="s">
        <v>46</v>
      </c>
      <c r="D58" t="s">
        <v>59</v>
      </c>
      <c r="E58" t="s">
        <v>161</v>
      </c>
      <c r="F58" t="s">
        <v>113</v>
      </c>
      <c r="G58" t="s">
        <v>434</v>
      </c>
      <c r="H58">
        <v>470</v>
      </c>
      <c r="I58" t="s">
        <v>62</v>
      </c>
      <c r="J58" t="s">
        <v>163</v>
      </c>
      <c r="K58" t="s">
        <v>79</v>
      </c>
      <c r="L58" t="s">
        <v>44</v>
      </c>
      <c r="M58" t="s">
        <v>54</v>
      </c>
      <c r="N58">
        <v>5</v>
      </c>
      <c r="O58">
        <v>-2</v>
      </c>
      <c r="P58">
        <v>0</v>
      </c>
      <c r="Q58">
        <v>42</v>
      </c>
      <c r="R58">
        <v>0</v>
      </c>
      <c r="T58">
        <v>0</v>
      </c>
      <c r="U58">
        <v>1</v>
      </c>
      <c r="V58">
        <v>544</v>
      </c>
      <c r="W58">
        <v>2</v>
      </c>
      <c r="X58" t="s">
        <v>65</v>
      </c>
      <c r="Y58">
        <v>1</v>
      </c>
      <c r="Z58">
        <v>4</v>
      </c>
      <c r="AA58">
        <v>52</v>
      </c>
      <c r="AB58">
        <v>3</v>
      </c>
      <c r="AC58">
        <v>1</v>
      </c>
      <c r="AD58">
        <v>4</v>
      </c>
      <c r="AE58">
        <v>2696</v>
      </c>
      <c r="AF58">
        <v>24017</v>
      </c>
      <c r="AG58">
        <v>0</v>
      </c>
      <c r="AH58">
        <v>11</v>
      </c>
      <c r="AI58">
        <v>3</v>
      </c>
      <c r="AJ58">
        <v>3</v>
      </c>
      <c r="AK58">
        <v>80</v>
      </c>
      <c r="AL58">
        <v>1</v>
      </c>
      <c r="AM58">
        <v>4</v>
      </c>
      <c r="AN58">
        <v>3</v>
      </c>
      <c r="AO58">
        <v>3</v>
      </c>
      <c r="AP58">
        <v>2</v>
      </c>
      <c r="AQ58">
        <v>1</v>
      </c>
      <c r="AR58">
        <v>0</v>
      </c>
    </row>
    <row r="59" spans="1:44" x14ac:dyDescent="0.3">
      <c r="A59" t="s">
        <v>56</v>
      </c>
      <c r="B59" t="s">
        <v>45</v>
      </c>
      <c r="C59" t="s">
        <v>69</v>
      </c>
      <c r="D59" t="s">
        <v>59</v>
      </c>
      <c r="E59" t="s">
        <v>161</v>
      </c>
      <c r="F59" t="s">
        <v>163</v>
      </c>
      <c r="G59" t="s">
        <v>394</v>
      </c>
      <c r="H59">
        <v>424</v>
      </c>
      <c r="I59" t="s">
        <v>62</v>
      </c>
      <c r="J59" t="s">
        <v>163</v>
      </c>
      <c r="K59" t="s">
        <v>64</v>
      </c>
      <c r="L59" t="s">
        <v>56</v>
      </c>
      <c r="M59" t="s">
        <v>54</v>
      </c>
      <c r="N59">
        <v>1</v>
      </c>
      <c r="O59">
        <v>-2</v>
      </c>
      <c r="P59">
        <v>0</v>
      </c>
      <c r="Q59">
        <v>31</v>
      </c>
      <c r="R59">
        <v>0</v>
      </c>
      <c r="T59">
        <v>0</v>
      </c>
      <c r="U59">
        <v>1</v>
      </c>
      <c r="V59">
        <v>106</v>
      </c>
      <c r="W59">
        <v>2</v>
      </c>
      <c r="X59" t="s">
        <v>77</v>
      </c>
      <c r="Y59">
        <v>1</v>
      </c>
      <c r="Z59">
        <v>1</v>
      </c>
      <c r="AA59">
        <v>62</v>
      </c>
      <c r="AB59">
        <v>2</v>
      </c>
      <c r="AC59">
        <v>2</v>
      </c>
      <c r="AD59">
        <v>3</v>
      </c>
      <c r="AE59">
        <v>6410</v>
      </c>
      <c r="AF59">
        <v>17822</v>
      </c>
      <c r="AG59">
        <v>3</v>
      </c>
      <c r="AH59">
        <v>12</v>
      </c>
      <c r="AI59">
        <v>3</v>
      </c>
      <c r="AJ59">
        <v>4</v>
      </c>
      <c r="AK59">
        <v>80</v>
      </c>
      <c r="AL59">
        <v>0</v>
      </c>
      <c r="AM59">
        <v>9</v>
      </c>
      <c r="AN59">
        <v>3</v>
      </c>
      <c r="AO59">
        <v>2</v>
      </c>
      <c r="AP59">
        <v>2</v>
      </c>
      <c r="AQ59">
        <v>1</v>
      </c>
      <c r="AR59">
        <v>0</v>
      </c>
    </row>
    <row r="60" spans="1:44" x14ac:dyDescent="0.3">
      <c r="A60" t="s">
        <v>56</v>
      </c>
      <c r="B60" t="s">
        <v>45</v>
      </c>
      <c r="C60" t="s">
        <v>75</v>
      </c>
      <c r="D60" t="s">
        <v>59</v>
      </c>
      <c r="E60" t="s">
        <v>161</v>
      </c>
      <c r="F60" t="s">
        <v>72</v>
      </c>
      <c r="G60" t="s">
        <v>316</v>
      </c>
      <c r="H60">
        <v>321</v>
      </c>
      <c r="I60" t="s">
        <v>62</v>
      </c>
      <c r="J60" t="s">
        <v>163</v>
      </c>
      <c r="K60" t="s">
        <v>64</v>
      </c>
      <c r="L60" t="s">
        <v>56</v>
      </c>
      <c r="M60" t="s">
        <v>54</v>
      </c>
      <c r="N60">
        <v>2</v>
      </c>
      <c r="O60">
        <v>-2</v>
      </c>
      <c r="P60">
        <v>0</v>
      </c>
      <c r="Q60">
        <v>59</v>
      </c>
      <c r="R60">
        <v>0</v>
      </c>
      <c r="T60">
        <v>0</v>
      </c>
      <c r="U60">
        <v>1</v>
      </c>
      <c r="V60">
        <v>818</v>
      </c>
      <c r="W60">
        <v>6</v>
      </c>
      <c r="X60" t="s">
        <v>55</v>
      </c>
      <c r="Y60">
        <v>1</v>
      </c>
      <c r="Z60">
        <v>2</v>
      </c>
      <c r="AA60">
        <v>52</v>
      </c>
      <c r="AB60">
        <v>3</v>
      </c>
      <c r="AC60">
        <v>1</v>
      </c>
      <c r="AD60">
        <v>3</v>
      </c>
      <c r="AE60">
        <v>2267</v>
      </c>
      <c r="AF60">
        <v>25657</v>
      </c>
      <c r="AG60">
        <v>8</v>
      </c>
      <c r="AH60">
        <v>17</v>
      </c>
      <c r="AI60">
        <v>3</v>
      </c>
      <c r="AJ60">
        <v>4</v>
      </c>
      <c r="AK60">
        <v>80</v>
      </c>
      <c r="AL60">
        <v>0</v>
      </c>
      <c r="AM60">
        <v>7</v>
      </c>
      <c r="AN60">
        <v>2</v>
      </c>
      <c r="AO60">
        <v>2</v>
      </c>
      <c r="AP60">
        <v>2</v>
      </c>
      <c r="AQ60">
        <v>2</v>
      </c>
      <c r="AR60">
        <v>2</v>
      </c>
    </row>
    <row r="61" spans="1:44" x14ac:dyDescent="0.3">
      <c r="A61" t="s">
        <v>56</v>
      </c>
      <c r="B61" t="s">
        <v>45</v>
      </c>
      <c r="C61" t="s">
        <v>69</v>
      </c>
      <c r="D61" t="s">
        <v>59</v>
      </c>
      <c r="E61" t="s">
        <v>161</v>
      </c>
      <c r="F61" t="s">
        <v>163</v>
      </c>
      <c r="G61" t="s">
        <v>223</v>
      </c>
      <c r="H61">
        <v>184</v>
      </c>
      <c r="I61" t="s">
        <v>62</v>
      </c>
      <c r="J61" t="s">
        <v>163</v>
      </c>
      <c r="K61" t="s">
        <v>64</v>
      </c>
      <c r="L61" t="s">
        <v>44</v>
      </c>
      <c r="M61" t="s">
        <v>54</v>
      </c>
      <c r="N61">
        <v>2</v>
      </c>
      <c r="O61">
        <v>-2</v>
      </c>
      <c r="P61">
        <v>0</v>
      </c>
      <c r="Q61">
        <v>30</v>
      </c>
      <c r="R61">
        <v>0</v>
      </c>
      <c r="T61">
        <v>0</v>
      </c>
      <c r="U61">
        <v>1</v>
      </c>
      <c r="V61">
        <v>1240</v>
      </c>
      <c r="W61">
        <v>9</v>
      </c>
      <c r="X61" t="s">
        <v>77</v>
      </c>
      <c r="Y61">
        <v>1</v>
      </c>
      <c r="Z61">
        <v>3</v>
      </c>
      <c r="AA61">
        <v>48</v>
      </c>
      <c r="AB61">
        <v>3</v>
      </c>
      <c r="AC61">
        <v>2</v>
      </c>
      <c r="AD61">
        <v>4</v>
      </c>
      <c r="AE61">
        <v>6347</v>
      </c>
      <c r="AF61">
        <v>13982</v>
      </c>
      <c r="AG61">
        <v>0</v>
      </c>
      <c r="AH61">
        <v>19</v>
      </c>
      <c r="AI61">
        <v>3</v>
      </c>
      <c r="AJ61">
        <v>4</v>
      </c>
      <c r="AK61">
        <v>80</v>
      </c>
      <c r="AL61">
        <v>0</v>
      </c>
      <c r="AM61">
        <v>12</v>
      </c>
      <c r="AN61">
        <v>1</v>
      </c>
      <c r="AO61">
        <v>11</v>
      </c>
      <c r="AP61">
        <v>9</v>
      </c>
      <c r="AQ61">
        <v>4</v>
      </c>
      <c r="AR61">
        <v>7</v>
      </c>
    </row>
    <row r="62" spans="1:44" x14ac:dyDescent="0.3">
      <c r="A62" t="s">
        <v>56</v>
      </c>
      <c r="B62" t="s">
        <v>45</v>
      </c>
      <c r="C62" t="s">
        <v>69</v>
      </c>
      <c r="D62" t="s">
        <v>59</v>
      </c>
      <c r="E62" t="s">
        <v>161</v>
      </c>
      <c r="F62" t="s">
        <v>49</v>
      </c>
      <c r="G62" t="s">
        <v>218</v>
      </c>
      <c r="H62">
        <v>177</v>
      </c>
      <c r="I62" t="s">
        <v>51</v>
      </c>
      <c r="J62" t="s">
        <v>163</v>
      </c>
      <c r="K62" t="s">
        <v>64</v>
      </c>
      <c r="L62" t="s">
        <v>56</v>
      </c>
      <c r="M62" t="s">
        <v>54</v>
      </c>
      <c r="N62">
        <v>3</v>
      </c>
      <c r="O62">
        <v>-2</v>
      </c>
      <c r="P62">
        <v>0</v>
      </c>
      <c r="Q62">
        <v>26</v>
      </c>
      <c r="R62">
        <v>0</v>
      </c>
      <c r="T62">
        <v>0</v>
      </c>
      <c r="U62">
        <v>1</v>
      </c>
      <c r="V62">
        <v>1355</v>
      </c>
      <c r="W62">
        <v>25</v>
      </c>
      <c r="X62" t="s">
        <v>65</v>
      </c>
      <c r="Y62">
        <v>1</v>
      </c>
      <c r="Z62">
        <v>3</v>
      </c>
      <c r="AA62">
        <v>61</v>
      </c>
      <c r="AB62">
        <v>3</v>
      </c>
      <c r="AC62">
        <v>1</v>
      </c>
      <c r="AD62">
        <v>2</v>
      </c>
      <c r="AE62">
        <v>2942</v>
      </c>
      <c r="AF62">
        <v>8916</v>
      </c>
      <c r="AG62">
        <v>1</v>
      </c>
      <c r="AH62">
        <v>23</v>
      </c>
      <c r="AI62">
        <v>4</v>
      </c>
      <c r="AJ62">
        <v>4</v>
      </c>
      <c r="AK62">
        <v>80</v>
      </c>
      <c r="AL62">
        <v>1</v>
      </c>
      <c r="AM62">
        <v>8</v>
      </c>
      <c r="AN62">
        <v>3</v>
      </c>
      <c r="AO62">
        <v>8</v>
      </c>
      <c r="AP62">
        <v>7</v>
      </c>
      <c r="AQ62">
        <v>5</v>
      </c>
      <c r="AR62">
        <v>7</v>
      </c>
    </row>
    <row r="63" spans="1:44" x14ac:dyDescent="0.3">
      <c r="A63" t="s">
        <v>56</v>
      </c>
      <c r="B63" t="s">
        <v>91</v>
      </c>
      <c r="C63" t="s">
        <v>58</v>
      </c>
      <c r="D63" t="s">
        <v>59</v>
      </c>
      <c r="E63" t="s">
        <v>161</v>
      </c>
      <c r="F63" t="s">
        <v>163</v>
      </c>
      <c r="G63" t="s">
        <v>196</v>
      </c>
      <c r="H63">
        <v>148</v>
      </c>
      <c r="I63" t="s">
        <v>51</v>
      </c>
      <c r="J63" t="s">
        <v>95</v>
      </c>
      <c r="K63" t="s">
        <v>53</v>
      </c>
      <c r="L63" t="s">
        <v>44</v>
      </c>
      <c r="M63" t="s">
        <v>54</v>
      </c>
      <c r="N63">
        <v>3</v>
      </c>
      <c r="O63">
        <v>-2</v>
      </c>
      <c r="P63">
        <v>0</v>
      </c>
      <c r="Q63">
        <v>54</v>
      </c>
      <c r="R63">
        <v>0</v>
      </c>
      <c r="T63">
        <v>0</v>
      </c>
      <c r="U63">
        <v>1</v>
      </c>
      <c r="V63">
        <v>142</v>
      </c>
      <c r="W63">
        <v>26</v>
      </c>
      <c r="X63" t="s">
        <v>77</v>
      </c>
      <c r="Y63">
        <v>1</v>
      </c>
      <c r="Z63">
        <v>4</v>
      </c>
      <c r="AA63">
        <v>30</v>
      </c>
      <c r="AB63">
        <v>4</v>
      </c>
      <c r="AC63">
        <v>4</v>
      </c>
      <c r="AD63">
        <v>4</v>
      </c>
      <c r="AE63">
        <v>17328</v>
      </c>
      <c r="AF63">
        <v>13871</v>
      </c>
      <c r="AG63">
        <v>2</v>
      </c>
      <c r="AH63">
        <v>12</v>
      </c>
      <c r="AI63">
        <v>3</v>
      </c>
      <c r="AJ63">
        <v>3</v>
      </c>
      <c r="AK63">
        <v>80</v>
      </c>
      <c r="AL63">
        <v>0</v>
      </c>
      <c r="AM63">
        <v>23</v>
      </c>
      <c r="AN63">
        <v>3</v>
      </c>
      <c r="AO63">
        <v>5</v>
      </c>
      <c r="AP63">
        <v>3</v>
      </c>
      <c r="AQ63">
        <v>4</v>
      </c>
      <c r="AR63">
        <v>4</v>
      </c>
    </row>
    <row r="64" spans="1:44" x14ac:dyDescent="0.3">
      <c r="A64" t="s">
        <v>56</v>
      </c>
      <c r="B64" t="s">
        <v>91</v>
      </c>
      <c r="C64" t="s">
        <v>75</v>
      </c>
      <c r="D64" t="s">
        <v>59</v>
      </c>
      <c r="E64" t="s">
        <v>161</v>
      </c>
      <c r="F64" t="s">
        <v>163</v>
      </c>
      <c r="G64" t="s">
        <v>189</v>
      </c>
      <c r="H64">
        <v>140</v>
      </c>
      <c r="I64" t="s">
        <v>51</v>
      </c>
      <c r="J64" t="s">
        <v>95</v>
      </c>
      <c r="K64" t="s">
        <v>64</v>
      </c>
      <c r="L64" t="s">
        <v>56</v>
      </c>
      <c r="M64" t="s">
        <v>54</v>
      </c>
      <c r="N64">
        <v>3</v>
      </c>
      <c r="O64">
        <v>-2</v>
      </c>
      <c r="P64">
        <v>0</v>
      </c>
      <c r="Q64">
        <v>59</v>
      </c>
      <c r="R64">
        <v>0</v>
      </c>
      <c r="T64">
        <v>0</v>
      </c>
      <c r="U64">
        <v>1</v>
      </c>
      <c r="V64">
        <v>1420</v>
      </c>
      <c r="W64">
        <v>2</v>
      </c>
      <c r="X64" t="s">
        <v>71</v>
      </c>
      <c r="Y64">
        <v>1</v>
      </c>
      <c r="Z64">
        <v>3</v>
      </c>
      <c r="AA64">
        <v>32</v>
      </c>
      <c r="AB64">
        <v>2</v>
      </c>
      <c r="AC64">
        <v>5</v>
      </c>
      <c r="AD64">
        <v>4</v>
      </c>
      <c r="AE64">
        <v>18844</v>
      </c>
      <c r="AF64">
        <v>21922</v>
      </c>
      <c r="AG64">
        <v>9</v>
      </c>
      <c r="AH64">
        <v>21</v>
      </c>
      <c r="AI64">
        <v>4</v>
      </c>
      <c r="AJ64">
        <v>4</v>
      </c>
      <c r="AK64">
        <v>80</v>
      </c>
      <c r="AL64">
        <v>1</v>
      </c>
      <c r="AM64">
        <v>30</v>
      </c>
      <c r="AN64">
        <v>3</v>
      </c>
      <c r="AO64">
        <v>3</v>
      </c>
      <c r="AP64">
        <v>2</v>
      </c>
      <c r="AQ64">
        <v>2</v>
      </c>
      <c r="AR64">
        <v>2</v>
      </c>
    </row>
    <row r="65" spans="1:44" x14ac:dyDescent="0.3">
      <c r="A65" t="s">
        <v>44</v>
      </c>
      <c r="B65" t="s">
        <v>45</v>
      </c>
      <c r="C65" t="s">
        <v>46</v>
      </c>
      <c r="D65" t="s">
        <v>47</v>
      </c>
      <c r="E65" t="s">
        <v>161</v>
      </c>
      <c r="F65" t="s">
        <v>163</v>
      </c>
      <c r="G65" t="s">
        <v>184</v>
      </c>
      <c r="H65">
        <v>133</v>
      </c>
      <c r="I65" t="s">
        <v>62</v>
      </c>
      <c r="J65" t="s">
        <v>163</v>
      </c>
      <c r="K65" t="s">
        <v>79</v>
      </c>
      <c r="L65" t="s">
        <v>44</v>
      </c>
      <c r="M65" t="s">
        <v>54</v>
      </c>
      <c r="N65">
        <v>3</v>
      </c>
      <c r="O65">
        <v>-2</v>
      </c>
      <c r="P65">
        <v>0</v>
      </c>
      <c r="Q65">
        <v>37</v>
      </c>
      <c r="R65">
        <v>1</v>
      </c>
      <c r="S65">
        <v>1</v>
      </c>
      <c r="T65">
        <v>1</v>
      </c>
      <c r="U65">
        <v>0</v>
      </c>
      <c r="V65">
        <v>807</v>
      </c>
      <c r="W65">
        <v>6</v>
      </c>
      <c r="X65" t="s">
        <v>71</v>
      </c>
      <c r="Y65">
        <v>1</v>
      </c>
      <c r="Z65">
        <v>3</v>
      </c>
      <c r="AA65">
        <v>63</v>
      </c>
      <c r="AB65">
        <v>3</v>
      </c>
      <c r="AC65">
        <v>1</v>
      </c>
      <c r="AD65">
        <v>4</v>
      </c>
      <c r="AE65">
        <v>2073</v>
      </c>
      <c r="AF65">
        <v>23648</v>
      </c>
      <c r="AG65">
        <v>4</v>
      </c>
      <c r="AH65">
        <v>22</v>
      </c>
      <c r="AI65">
        <v>4</v>
      </c>
      <c r="AJ65">
        <v>4</v>
      </c>
      <c r="AK65">
        <v>80</v>
      </c>
      <c r="AL65">
        <v>0</v>
      </c>
      <c r="AM65">
        <v>7</v>
      </c>
      <c r="AN65">
        <v>3</v>
      </c>
      <c r="AO65">
        <v>3</v>
      </c>
      <c r="AP65">
        <v>2</v>
      </c>
      <c r="AQ65">
        <v>0</v>
      </c>
      <c r="AR65">
        <v>2</v>
      </c>
    </row>
    <row r="66" spans="1:44" x14ac:dyDescent="0.3">
      <c r="A66" t="s">
        <v>56</v>
      </c>
      <c r="B66" t="s">
        <v>45</v>
      </c>
      <c r="C66" t="s">
        <v>58</v>
      </c>
      <c r="D66" t="s">
        <v>59</v>
      </c>
      <c r="E66" t="s">
        <v>161</v>
      </c>
      <c r="F66" t="s">
        <v>72</v>
      </c>
      <c r="G66" t="s">
        <v>162</v>
      </c>
      <c r="H66">
        <v>103</v>
      </c>
      <c r="I66" t="s">
        <v>62</v>
      </c>
      <c r="J66" t="s">
        <v>163</v>
      </c>
      <c r="K66" t="s">
        <v>79</v>
      </c>
      <c r="L66" t="s">
        <v>44</v>
      </c>
      <c r="M66" t="s">
        <v>54</v>
      </c>
      <c r="N66">
        <v>2</v>
      </c>
      <c r="O66">
        <v>-2</v>
      </c>
      <c r="P66">
        <v>0</v>
      </c>
      <c r="Q66">
        <v>46</v>
      </c>
      <c r="R66">
        <v>0</v>
      </c>
      <c r="T66">
        <v>0</v>
      </c>
      <c r="U66">
        <v>1</v>
      </c>
      <c r="V66">
        <v>945</v>
      </c>
      <c r="W66">
        <v>5</v>
      </c>
      <c r="X66" t="s">
        <v>55</v>
      </c>
      <c r="Y66">
        <v>1</v>
      </c>
      <c r="Z66">
        <v>2</v>
      </c>
      <c r="AA66">
        <v>80</v>
      </c>
      <c r="AB66">
        <v>3</v>
      </c>
      <c r="AC66">
        <v>2</v>
      </c>
      <c r="AD66">
        <v>3</v>
      </c>
      <c r="AE66">
        <v>5021</v>
      </c>
      <c r="AF66">
        <v>10425</v>
      </c>
      <c r="AG66">
        <v>8</v>
      </c>
      <c r="AH66">
        <v>22</v>
      </c>
      <c r="AI66">
        <v>4</v>
      </c>
      <c r="AJ66">
        <v>4</v>
      </c>
      <c r="AK66">
        <v>80</v>
      </c>
      <c r="AL66">
        <v>1</v>
      </c>
      <c r="AM66">
        <v>16</v>
      </c>
      <c r="AN66">
        <v>3</v>
      </c>
      <c r="AO66">
        <v>4</v>
      </c>
      <c r="AP66">
        <v>2</v>
      </c>
      <c r="AQ66">
        <v>0</v>
      </c>
      <c r="AR66">
        <v>2</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67831-48CC-4D11-98E9-AD18E919CFF9}">
  <dimension ref="A1:AR285"/>
  <sheetViews>
    <sheetView workbookViewId="0">
      <selection activeCell="A3" sqref="A3:AR285"/>
    </sheetView>
  </sheetViews>
  <sheetFormatPr defaultRowHeight="15.6" x14ac:dyDescent="0.3"/>
  <cols>
    <col min="1" max="1" width="10.09765625" bestFit="1" customWidth="1"/>
    <col min="2" max="2" width="16.09765625" bestFit="1" customWidth="1"/>
    <col min="3" max="3" width="13.59765625" bestFit="1" customWidth="1"/>
    <col min="4" max="4" width="17.59765625" bestFit="1" customWidth="1"/>
    <col min="5" max="5" width="13" bestFit="1" customWidth="1"/>
    <col min="6" max="6" width="15.8984375" bestFit="1" customWidth="1"/>
    <col min="7" max="7" width="10.3984375" bestFit="1" customWidth="1"/>
    <col min="8" max="8" width="18.5" bestFit="1" customWidth="1"/>
    <col min="9" max="9" width="9.09765625" bestFit="1" customWidth="1"/>
    <col min="10" max="10" width="23.296875" bestFit="1" customWidth="1"/>
    <col min="11" max="11" width="14.69921875" bestFit="1" customWidth="1"/>
    <col min="12" max="12" width="11.3984375" bestFit="1" customWidth="1"/>
    <col min="13" max="13" width="8.8984375" bestFit="1" customWidth="1"/>
    <col min="14" max="14" width="23.3984375" bestFit="1" customWidth="1"/>
    <col min="15" max="17" width="8.8984375" bestFit="1" customWidth="1"/>
    <col min="18" max="18" width="18.296875" bestFit="1" customWidth="1"/>
    <col min="19" max="19" width="19.19921875" bestFit="1" customWidth="1"/>
    <col min="20" max="20" width="16.8984375" bestFit="1" customWidth="1"/>
    <col min="21" max="21" width="20.8984375" bestFit="1" customWidth="1"/>
    <col min="22" max="22" width="11.296875" bestFit="1" customWidth="1"/>
    <col min="23" max="23" width="20.3984375" bestFit="1" customWidth="1"/>
    <col min="24" max="24" width="16" bestFit="1" customWidth="1"/>
    <col min="25" max="25" width="16.796875" bestFit="1" customWidth="1"/>
    <col min="26" max="26" width="24.19921875" bestFit="1" customWidth="1"/>
    <col min="27" max="27" width="12.69921875" bestFit="1" customWidth="1"/>
    <col min="28" max="28" width="16.69921875" bestFit="1" customWidth="1"/>
    <col min="29" max="29" width="10.3984375" bestFit="1" customWidth="1"/>
    <col min="30" max="30" width="16" bestFit="1" customWidth="1"/>
    <col min="31" max="31" width="16.69921875" bestFit="1" customWidth="1"/>
    <col min="32" max="32" width="14.296875" bestFit="1" customWidth="1"/>
    <col min="33" max="33" width="24.09765625" bestFit="1" customWidth="1"/>
    <col min="34" max="34" width="18.8984375" bestFit="1" customWidth="1"/>
    <col min="35" max="35" width="19.5" bestFit="1" customWidth="1"/>
    <col min="36" max="36" width="23.8984375" bestFit="1" customWidth="1"/>
    <col min="37" max="37" width="16" bestFit="1" customWidth="1"/>
    <col min="38" max="38" width="18.3984375" bestFit="1" customWidth="1"/>
    <col min="39" max="39" width="19.8984375" bestFit="1" customWidth="1"/>
    <col min="40" max="40" width="17.8984375" bestFit="1" customWidth="1"/>
    <col min="41" max="41" width="18.296875" bestFit="1" customWidth="1"/>
    <col min="42" max="42" width="20.796875" bestFit="1" customWidth="1"/>
    <col min="43" max="43" width="25.69921875" bestFit="1" customWidth="1"/>
    <col min="44" max="44" width="24.296875" bestFit="1" customWidth="1"/>
  </cols>
  <sheetData>
    <row r="1" spans="1:44" x14ac:dyDescent="0.3">
      <c r="A1" s="15" t="s">
        <v>1573</v>
      </c>
    </row>
    <row r="3" spans="1:44"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24</v>
      </c>
      <c r="Z3" t="s">
        <v>25</v>
      </c>
      <c r="AA3" t="s">
        <v>26</v>
      </c>
      <c r="AB3" t="s">
        <v>27</v>
      </c>
      <c r="AC3" t="s">
        <v>28</v>
      </c>
      <c r="AD3" t="s">
        <v>29</v>
      </c>
      <c r="AE3" t="s">
        <v>30</v>
      </c>
      <c r="AF3" t="s">
        <v>31</v>
      </c>
      <c r="AG3" t="s">
        <v>32</v>
      </c>
      <c r="AH3" t="s">
        <v>33</v>
      </c>
      <c r="AI3" t="s">
        <v>34</v>
      </c>
      <c r="AJ3" t="s">
        <v>35</v>
      </c>
      <c r="AK3" t="s">
        <v>36</v>
      </c>
      <c r="AL3" t="s">
        <v>37</v>
      </c>
      <c r="AM3" t="s">
        <v>38</v>
      </c>
      <c r="AN3" t="s">
        <v>39</v>
      </c>
      <c r="AO3" t="s">
        <v>40</v>
      </c>
      <c r="AP3" t="s">
        <v>41</v>
      </c>
      <c r="AQ3" t="s">
        <v>42</v>
      </c>
      <c r="AR3" t="s">
        <v>43</v>
      </c>
    </row>
    <row r="4" spans="1:44" x14ac:dyDescent="0.3">
      <c r="A4" t="s">
        <v>44</v>
      </c>
      <c r="B4" t="s">
        <v>45</v>
      </c>
      <c r="C4" t="s">
        <v>46</v>
      </c>
      <c r="D4" t="s">
        <v>47</v>
      </c>
      <c r="E4" t="s">
        <v>48</v>
      </c>
      <c r="F4" t="s">
        <v>49</v>
      </c>
      <c r="G4" t="s">
        <v>50</v>
      </c>
      <c r="H4">
        <v>1</v>
      </c>
      <c r="I4" t="s">
        <v>51</v>
      </c>
      <c r="J4" t="s">
        <v>52</v>
      </c>
      <c r="K4" t="s">
        <v>53</v>
      </c>
      <c r="L4" t="s">
        <v>44</v>
      </c>
      <c r="M4" t="s">
        <v>54</v>
      </c>
      <c r="N4">
        <v>0</v>
      </c>
      <c r="O4">
        <v>-2</v>
      </c>
      <c r="P4">
        <v>0</v>
      </c>
      <c r="Q4">
        <v>41</v>
      </c>
      <c r="R4">
        <v>1</v>
      </c>
      <c r="S4">
        <v>1</v>
      </c>
      <c r="T4">
        <v>1</v>
      </c>
      <c r="U4">
        <v>0</v>
      </c>
      <c r="V4">
        <v>1102</v>
      </c>
      <c r="W4">
        <v>1</v>
      </c>
      <c r="X4" t="s">
        <v>55</v>
      </c>
      <c r="Y4">
        <v>1</v>
      </c>
      <c r="Z4">
        <v>2</v>
      </c>
      <c r="AA4">
        <v>94</v>
      </c>
      <c r="AB4">
        <v>3</v>
      </c>
      <c r="AC4">
        <v>2</v>
      </c>
      <c r="AD4">
        <v>4</v>
      </c>
      <c r="AE4">
        <v>5993</v>
      </c>
      <c r="AF4">
        <v>19479</v>
      </c>
      <c r="AG4">
        <v>8</v>
      </c>
      <c r="AH4">
        <v>11</v>
      </c>
      <c r="AI4">
        <v>3</v>
      </c>
      <c r="AJ4">
        <v>1</v>
      </c>
      <c r="AK4">
        <v>80</v>
      </c>
      <c r="AL4">
        <v>0</v>
      </c>
      <c r="AM4">
        <v>8</v>
      </c>
      <c r="AN4">
        <v>1</v>
      </c>
      <c r="AO4">
        <v>6</v>
      </c>
      <c r="AP4">
        <v>4</v>
      </c>
      <c r="AQ4">
        <v>0</v>
      </c>
      <c r="AR4">
        <v>5</v>
      </c>
    </row>
    <row r="5" spans="1:44" x14ac:dyDescent="0.3">
      <c r="A5" t="s">
        <v>44</v>
      </c>
      <c r="B5" t="s">
        <v>57</v>
      </c>
      <c r="C5" t="s">
        <v>69</v>
      </c>
      <c r="D5" t="s">
        <v>47</v>
      </c>
      <c r="E5" t="s">
        <v>60</v>
      </c>
      <c r="F5" t="s">
        <v>49</v>
      </c>
      <c r="G5" t="s">
        <v>1550</v>
      </c>
      <c r="H5">
        <v>1868</v>
      </c>
      <c r="I5" t="s">
        <v>62</v>
      </c>
      <c r="J5" t="s">
        <v>63</v>
      </c>
      <c r="K5" t="s">
        <v>53</v>
      </c>
      <c r="L5" t="s">
        <v>44</v>
      </c>
      <c r="M5" t="s">
        <v>54</v>
      </c>
      <c r="N5">
        <v>3</v>
      </c>
      <c r="O5">
        <v>-2</v>
      </c>
      <c r="P5">
        <v>0</v>
      </c>
      <c r="Q5">
        <v>29</v>
      </c>
      <c r="R5">
        <v>1</v>
      </c>
      <c r="S5">
        <v>1</v>
      </c>
      <c r="T5">
        <v>1</v>
      </c>
      <c r="U5">
        <v>0</v>
      </c>
      <c r="V5">
        <v>459</v>
      </c>
      <c r="W5">
        <v>24</v>
      </c>
      <c r="X5" t="s">
        <v>55</v>
      </c>
      <c r="Y5">
        <v>1</v>
      </c>
      <c r="Z5">
        <v>4</v>
      </c>
      <c r="AA5">
        <v>73</v>
      </c>
      <c r="AB5">
        <v>2</v>
      </c>
      <c r="AC5">
        <v>1</v>
      </c>
      <c r="AD5">
        <v>4</v>
      </c>
      <c r="AE5">
        <v>2439</v>
      </c>
      <c r="AF5">
        <v>14753</v>
      </c>
      <c r="AG5">
        <v>1</v>
      </c>
      <c r="AH5">
        <v>24</v>
      </c>
      <c r="AI5">
        <v>4</v>
      </c>
      <c r="AJ5">
        <v>2</v>
      </c>
      <c r="AK5">
        <v>80</v>
      </c>
      <c r="AL5">
        <v>0</v>
      </c>
      <c r="AM5">
        <v>1</v>
      </c>
      <c r="AN5">
        <v>2</v>
      </c>
      <c r="AO5">
        <v>1</v>
      </c>
      <c r="AP5">
        <v>0</v>
      </c>
      <c r="AQ5">
        <v>1</v>
      </c>
      <c r="AR5">
        <v>0</v>
      </c>
    </row>
    <row r="6" spans="1:44" x14ac:dyDescent="0.3">
      <c r="A6" t="s">
        <v>44</v>
      </c>
      <c r="B6" t="s">
        <v>45</v>
      </c>
      <c r="C6" t="s">
        <v>46</v>
      </c>
      <c r="D6" t="s">
        <v>47</v>
      </c>
      <c r="E6" t="s">
        <v>60</v>
      </c>
      <c r="F6" t="s">
        <v>66</v>
      </c>
      <c r="G6" t="s">
        <v>67</v>
      </c>
      <c r="H6">
        <v>4</v>
      </c>
      <c r="I6" t="s">
        <v>62</v>
      </c>
      <c r="J6" t="s">
        <v>68</v>
      </c>
      <c r="K6" t="s">
        <v>53</v>
      </c>
      <c r="L6" t="s">
        <v>44</v>
      </c>
      <c r="M6" t="s">
        <v>54</v>
      </c>
      <c r="N6">
        <v>3</v>
      </c>
      <c r="O6">
        <v>-2</v>
      </c>
      <c r="P6">
        <v>0</v>
      </c>
      <c r="Q6">
        <v>37</v>
      </c>
      <c r="R6">
        <v>1</v>
      </c>
      <c r="S6">
        <v>1</v>
      </c>
      <c r="T6">
        <v>1</v>
      </c>
      <c r="U6">
        <v>0</v>
      </c>
      <c r="V6">
        <v>1373</v>
      </c>
      <c r="W6">
        <v>2</v>
      </c>
      <c r="X6" t="s">
        <v>55</v>
      </c>
      <c r="Y6">
        <v>1</v>
      </c>
      <c r="Z6">
        <v>4</v>
      </c>
      <c r="AA6">
        <v>92</v>
      </c>
      <c r="AB6">
        <v>2</v>
      </c>
      <c r="AC6">
        <v>1</v>
      </c>
      <c r="AD6">
        <v>3</v>
      </c>
      <c r="AE6">
        <v>2090</v>
      </c>
      <c r="AF6">
        <v>2396</v>
      </c>
      <c r="AG6">
        <v>6</v>
      </c>
      <c r="AH6">
        <v>15</v>
      </c>
      <c r="AI6">
        <v>3</v>
      </c>
      <c r="AJ6">
        <v>2</v>
      </c>
      <c r="AK6">
        <v>80</v>
      </c>
      <c r="AL6">
        <v>0</v>
      </c>
      <c r="AM6">
        <v>7</v>
      </c>
      <c r="AN6">
        <v>3</v>
      </c>
      <c r="AO6">
        <v>0</v>
      </c>
      <c r="AP6">
        <v>0</v>
      </c>
      <c r="AQ6">
        <v>0</v>
      </c>
      <c r="AR6">
        <v>0</v>
      </c>
    </row>
    <row r="7" spans="1:44" x14ac:dyDescent="0.3">
      <c r="A7" t="s">
        <v>44</v>
      </c>
      <c r="B7" t="s">
        <v>57</v>
      </c>
      <c r="C7" t="s">
        <v>58</v>
      </c>
      <c r="D7" t="s">
        <v>47</v>
      </c>
      <c r="E7" t="s">
        <v>60</v>
      </c>
      <c r="F7" t="s">
        <v>49</v>
      </c>
      <c r="G7" t="s">
        <v>1545</v>
      </c>
      <c r="H7">
        <v>1420</v>
      </c>
      <c r="I7" t="s">
        <v>62</v>
      </c>
      <c r="J7" t="s">
        <v>68</v>
      </c>
      <c r="K7" t="s">
        <v>53</v>
      </c>
      <c r="L7" t="s">
        <v>56</v>
      </c>
      <c r="M7" t="s">
        <v>54</v>
      </c>
      <c r="N7">
        <v>2</v>
      </c>
      <c r="O7">
        <v>-2</v>
      </c>
      <c r="P7">
        <v>0</v>
      </c>
      <c r="Q7">
        <v>49</v>
      </c>
      <c r="R7">
        <v>1</v>
      </c>
      <c r="S7">
        <v>1</v>
      </c>
      <c r="T7">
        <v>1</v>
      </c>
      <c r="U7">
        <v>0</v>
      </c>
      <c r="V7">
        <v>1475</v>
      </c>
      <c r="W7">
        <v>28</v>
      </c>
      <c r="X7" t="s">
        <v>55</v>
      </c>
      <c r="Y7">
        <v>1</v>
      </c>
      <c r="Z7">
        <v>1</v>
      </c>
      <c r="AA7">
        <v>97</v>
      </c>
      <c r="AB7">
        <v>2</v>
      </c>
      <c r="AC7">
        <v>2</v>
      </c>
      <c r="AD7">
        <v>1</v>
      </c>
      <c r="AE7">
        <v>4284</v>
      </c>
      <c r="AF7">
        <v>22710</v>
      </c>
      <c r="AG7">
        <v>3</v>
      </c>
      <c r="AH7">
        <v>20</v>
      </c>
      <c r="AI7">
        <v>4</v>
      </c>
      <c r="AJ7">
        <v>1</v>
      </c>
      <c r="AK7">
        <v>80</v>
      </c>
      <c r="AL7">
        <v>0</v>
      </c>
      <c r="AM7">
        <v>20</v>
      </c>
      <c r="AN7">
        <v>3</v>
      </c>
      <c r="AO7">
        <v>4</v>
      </c>
      <c r="AP7">
        <v>3</v>
      </c>
      <c r="AQ7">
        <v>1</v>
      </c>
      <c r="AR7">
        <v>3</v>
      </c>
    </row>
    <row r="8" spans="1:44" x14ac:dyDescent="0.3">
      <c r="A8" t="s">
        <v>44</v>
      </c>
      <c r="B8" t="s">
        <v>45</v>
      </c>
      <c r="C8" t="s">
        <v>58</v>
      </c>
      <c r="D8" t="s">
        <v>47</v>
      </c>
      <c r="E8" t="s">
        <v>60</v>
      </c>
      <c r="F8" t="s">
        <v>72</v>
      </c>
      <c r="G8" t="s">
        <v>1543</v>
      </c>
      <c r="H8">
        <v>1821</v>
      </c>
      <c r="I8" t="s">
        <v>51</v>
      </c>
      <c r="J8" t="s">
        <v>83</v>
      </c>
      <c r="K8" t="s">
        <v>64</v>
      </c>
      <c r="L8" t="s">
        <v>56</v>
      </c>
      <c r="M8" t="s">
        <v>54</v>
      </c>
      <c r="N8">
        <v>2</v>
      </c>
      <c r="O8">
        <v>-2</v>
      </c>
      <c r="P8">
        <v>0</v>
      </c>
      <c r="Q8">
        <v>46</v>
      </c>
      <c r="R8">
        <v>1</v>
      </c>
      <c r="S8">
        <v>1</v>
      </c>
      <c r="T8">
        <v>1</v>
      </c>
      <c r="U8">
        <v>0</v>
      </c>
      <c r="V8">
        <v>261</v>
      </c>
      <c r="W8">
        <v>21</v>
      </c>
      <c r="X8" t="s">
        <v>55</v>
      </c>
      <c r="Y8">
        <v>1</v>
      </c>
      <c r="Z8">
        <v>4</v>
      </c>
      <c r="AA8">
        <v>66</v>
      </c>
      <c r="AB8">
        <v>3</v>
      </c>
      <c r="AC8">
        <v>2</v>
      </c>
      <c r="AD8">
        <v>2</v>
      </c>
      <c r="AE8">
        <v>8926</v>
      </c>
      <c r="AF8">
        <v>10842</v>
      </c>
      <c r="AG8">
        <v>4</v>
      </c>
      <c r="AH8">
        <v>22</v>
      </c>
      <c r="AI8">
        <v>4</v>
      </c>
      <c r="AJ8">
        <v>4</v>
      </c>
      <c r="AK8">
        <v>80</v>
      </c>
      <c r="AL8">
        <v>1</v>
      </c>
      <c r="AM8">
        <v>13</v>
      </c>
      <c r="AN8">
        <v>4</v>
      </c>
      <c r="AO8">
        <v>9</v>
      </c>
      <c r="AP8">
        <v>7</v>
      </c>
      <c r="AQ8">
        <v>3</v>
      </c>
      <c r="AR8">
        <v>7</v>
      </c>
    </row>
    <row r="9" spans="1:44" x14ac:dyDescent="0.3">
      <c r="A9" t="s">
        <v>56</v>
      </c>
      <c r="B9" t="s">
        <v>57</v>
      </c>
      <c r="C9" t="s">
        <v>69</v>
      </c>
      <c r="D9" t="s">
        <v>59</v>
      </c>
      <c r="E9" t="s">
        <v>60</v>
      </c>
      <c r="F9" t="s">
        <v>49</v>
      </c>
      <c r="G9" t="s">
        <v>74</v>
      </c>
      <c r="H9">
        <v>8</v>
      </c>
      <c r="I9" t="s">
        <v>62</v>
      </c>
      <c r="J9" t="s">
        <v>68</v>
      </c>
      <c r="K9" t="s">
        <v>53</v>
      </c>
      <c r="L9" t="s">
        <v>56</v>
      </c>
      <c r="M9" t="s">
        <v>54</v>
      </c>
      <c r="N9">
        <v>2</v>
      </c>
      <c r="O9">
        <v>-2</v>
      </c>
      <c r="P9">
        <v>0</v>
      </c>
      <c r="Q9">
        <v>32</v>
      </c>
      <c r="R9">
        <v>0</v>
      </c>
      <c r="T9">
        <v>0</v>
      </c>
      <c r="U9">
        <v>1</v>
      </c>
      <c r="V9">
        <v>1005</v>
      </c>
      <c r="W9">
        <v>2</v>
      </c>
      <c r="X9" t="s">
        <v>55</v>
      </c>
      <c r="Y9">
        <v>1</v>
      </c>
      <c r="Z9">
        <v>4</v>
      </c>
      <c r="AA9">
        <v>79</v>
      </c>
      <c r="AB9">
        <v>3</v>
      </c>
      <c r="AC9">
        <v>1</v>
      </c>
      <c r="AD9">
        <v>2</v>
      </c>
      <c r="AE9">
        <v>3068</v>
      </c>
      <c r="AF9">
        <v>11864</v>
      </c>
      <c r="AG9">
        <v>0</v>
      </c>
      <c r="AH9">
        <v>13</v>
      </c>
      <c r="AI9">
        <v>3</v>
      </c>
      <c r="AJ9">
        <v>3</v>
      </c>
      <c r="AK9">
        <v>80</v>
      </c>
      <c r="AL9">
        <v>0</v>
      </c>
      <c r="AM9">
        <v>8</v>
      </c>
      <c r="AN9">
        <v>2</v>
      </c>
      <c r="AO9">
        <v>7</v>
      </c>
      <c r="AP9">
        <v>7</v>
      </c>
      <c r="AQ9">
        <v>3</v>
      </c>
      <c r="AR9">
        <v>6</v>
      </c>
    </row>
    <row r="10" spans="1:44" x14ac:dyDescent="0.3">
      <c r="A10" t="s">
        <v>44</v>
      </c>
      <c r="B10" t="s">
        <v>45</v>
      </c>
      <c r="C10" t="s">
        <v>46</v>
      </c>
      <c r="D10" t="s">
        <v>47</v>
      </c>
      <c r="E10" t="s">
        <v>48</v>
      </c>
      <c r="F10" t="s">
        <v>72</v>
      </c>
      <c r="G10" t="s">
        <v>1538</v>
      </c>
      <c r="H10">
        <v>1645</v>
      </c>
      <c r="I10" t="s">
        <v>62</v>
      </c>
      <c r="J10" t="s">
        <v>52</v>
      </c>
      <c r="K10" t="s">
        <v>79</v>
      </c>
      <c r="L10" t="s">
        <v>44</v>
      </c>
      <c r="M10" t="s">
        <v>54</v>
      </c>
      <c r="N10">
        <v>2</v>
      </c>
      <c r="O10">
        <v>-2</v>
      </c>
      <c r="P10">
        <v>0</v>
      </c>
      <c r="Q10">
        <v>35</v>
      </c>
      <c r="R10">
        <v>1</v>
      </c>
      <c r="S10">
        <v>1</v>
      </c>
      <c r="T10">
        <v>1</v>
      </c>
      <c r="U10">
        <v>0</v>
      </c>
      <c r="V10">
        <v>763</v>
      </c>
      <c r="W10">
        <v>15</v>
      </c>
      <c r="X10" t="s">
        <v>55</v>
      </c>
      <c r="Y10">
        <v>1</v>
      </c>
      <c r="Z10">
        <v>1</v>
      </c>
      <c r="AA10">
        <v>59</v>
      </c>
      <c r="AB10">
        <v>1</v>
      </c>
      <c r="AC10">
        <v>2</v>
      </c>
      <c r="AD10">
        <v>4</v>
      </c>
      <c r="AE10">
        <v>5440</v>
      </c>
      <c r="AF10">
        <v>22098</v>
      </c>
      <c r="AG10">
        <v>6</v>
      </c>
      <c r="AH10">
        <v>14</v>
      </c>
      <c r="AI10">
        <v>3</v>
      </c>
      <c r="AJ10">
        <v>4</v>
      </c>
      <c r="AK10">
        <v>80</v>
      </c>
      <c r="AL10">
        <v>2</v>
      </c>
      <c r="AM10">
        <v>7</v>
      </c>
      <c r="AN10">
        <v>2</v>
      </c>
      <c r="AO10">
        <v>2</v>
      </c>
      <c r="AP10">
        <v>2</v>
      </c>
      <c r="AQ10">
        <v>2</v>
      </c>
      <c r="AR10">
        <v>2</v>
      </c>
    </row>
    <row r="11" spans="1:44" x14ac:dyDescent="0.3">
      <c r="A11" t="s">
        <v>44</v>
      </c>
      <c r="B11" t="s">
        <v>57</v>
      </c>
      <c r="C11" t="s">
        <v>46</v>
      </c>
      <c r="D11" t="s">
        <v>47</v>
      </c>
      <c r="E11" t="s">
        <v>60</v>
      </c>
      <c r="F11" t="s">
        <v>72</v>
      </c>
      <c r="G11" t="s">
        <v>1527</v>
      </c>
      <c r="H11">
        <v>1792</v>
      </c>
      <c r="I11" t="s">
        <v>62</v>
      </c>
      <c r="J11" t="s">
        <v>63</v>
      </c>
      <c r="K11" t="s">
        <v>79</v>
      </c>
      <c r="L11" t="s">
        <v>44</v>
      </c>
      <c r="M11" t="s">
        <v>54</v>
      </c>
      <c r="N11">
        <v>2</v>
      </c>
      <c r="O11">
        <v>-2</v>
      </c>
      <c r="P11">
        <v>0</v>
      </c>
      <c r="Q11">
        <v>44</v>
      </c>
      <c r="R11">
        <v>1</v>
      </c>
      <c r="S11">
        <v>1</v>
      </c>
      <c r="T11">
        <v>1</v>
      </c>
      <c r="U11">
        <v>0</v>
      </c>
      <c r="V11">
        <v>429</v>
      </c>
      <c r="W11">
        <v>1</v>
      </c>
      <c r="X11" t="s">
        <v>55</v>
      </c>
      <c r="Y11">
        <v>1</v>
      </c>
      <c r="Z11">
        <v>3</v>
      </c>
      <c r="AA11">
        <v>99</v>
      </c>
      <c r="AB11">
        <v>3</v>
      </c>
      <c r="AC11">
        <v>1</v>
      </c>
      <c r="AD11">
        <v>2</v>
      </c>
      <c r="AE11">
        <v>2342</v>
      </c>
      <c r="AF11">
        <v>11092</v>
      </c>
      <c r="AG11">
        <v>1</v>
      </c>
      <c r="AH11">
        <v>12</v>
      </c>
      <c r="AI11">
        <v>3</v>
      </c>
      <c r="AJ11">
        <v>3</v>
      </c>
      <c r="AK11">
        <v>80</v>
      </c>
      <c r="AL11">
        <v>3</v>
      </c>
      <c r="AM11">
        <v>6</v>
      </c>
      <c r="AN11">
        <v>2</v>
      </c>
      <c r="AO11">
        <v>5</v>
      </c>
      <c r="AP11">
        <v>3</v>
      </c>
      <c r="AQ11">
        <v>2</v>
      </c>
      <c r="AR11">
        <v>3</v>
      </c>
    </row>
    <row r="12" spans="1:44" x14ac:dyDescent="0.3">
      <c r="A12" t="s">
        <v>44</v>
      </c>
      <c r="B12" t="s">
        <v>45</v>
      </c>
      <c r="C12" t="s">
        <v>69</v>
      </c>
      <c r="D12" t="s">
        <v>47</v>
      </c>
      <c r="E12" t="s">
        <v>48</v>
      </c>
      <c r="F12" t="s">
        <v>106</v>
      </c>
      <c r="G12" t="s">
        <v>1526</v>
      </c>
      <c r="H12">
        <v>1933</v>
      </c>
      <c r="I12" t="s">
        <v>51</v>
      </c>
      <c r="J12" t="s">
        <v>52</v>
      </c>
      <c r="K12" t="s">
        <v>53</v>
      </c>
      <c r="L12" t="s">
        <v>44</v>
      </c>
      <c r="M12" t="s">
        <v>54</v>
      </c>
      <c r="N12">
        <v>0</v>
      </c>
      <c r="O12">
        <v>-2</v>
      </c>
      <c r="P12">
        <v>0</v>
      </c>
      <c r="Q12">
        <v>28</v>
      </c>
      <c r="R12">
        <v>1</v>
      </c>
      <c r="S12">
        <v>1</v>
      </c>
      <c r="T12">
        <v>1</v>
      </c>
      <c r="U12">
        <v>0</v>
      </c>
      <c r="V12">
        <v>1475</v>
      </c>
      <c r="W12">
        <v>13</v>
      </c>
      <c r="X12" t="s">
        <v>55</v>
      </c>
      <c r="Y12">
        <v>1</v>
      </c>
      <c r="Z12">
        <v>4</v>
      </c>
      <c r="AA12">
        <v>84</v>
      </c>
      <c r="AB12">
        <v>3</v>
      </c>
      <c r="AC12">
        <v>2</v>
      </c>
      <c r="AD12">
        <v>1</v>
      </c>
      <c r="AE12">
        <v>9854</v>
      </c>
      <c r="AF12">
        <v>23352</v>
      </c>
      <c r="AG12">
        <v>3</v>
      </c>
      <c r="AH12">
        <v>11</v>
      </c>
      <c r="AI12">
        <v>3</v>
      </c>
      <c r="AJ12">
        <v>4</v>
      </c>
      <c r="AK12">
        <v>80</v>
      </c>
      <c r="AL12">
        <v>0</v>
      </c>
      <c r="AM12">
        <v>6</v>
      </c>
      <c r="AN12">
        <v>3</v>
      </c>
      <c r="AO12">
        <v>2</v>
      </c>
      <c r="AP12">
        <v>0</v>
      </c>
      <c r="AQ12">
        <v>2</v>
      </c>
      <c r="AR12">
        <v>2</v>
      </c>
    </row>
    <row r="13" spans="1:44" x14ac:dyDescent="0.3">
      <c r="A13" t="s">
        <v>44</v>
      </c>
      <c r="B13" t="s">
        <v>45</v>
      </c>
      <c r="C13" t="s">
        <v>69</v>
      </c>
      <c r="D13" t="s">
        <v>47</v>
      </c>
      <c r="E13" t="s">
        <v>161</v>
      </c>
      <c r="F13" t="s">
        <v>72</v>
      </c>
      <c r="G13" t="s">
        <v>1523</v>
      </c>
      <c r="H13">
        <v>1818</v>
      </c>
      <c r="I13" t="s">
        <v>51</v>
      </c>
      <c r="J13" t="s">
        <v>163</v>
      </c>
      <c r="K13" t="s">
        <v>64</v>
      </c>
      <c r="L13" t="s">
        <v>44</v>
      </c>
      <c r="M13" t="s">
        <v>54</v>
      </c>
      <c r="N13">
        <v>3</v>
      </c>
      <c r="O13">
        <v>-2</v>
      </c>
      <c r="P13">
        <v>0</v>
      </c>
      <c r="Q13">
        <v>26</v>
      </c>
      <c r="R13">
        <v>1</v>
      </c>
      <c r="S13">
        <v>1</v>
      </c>
      <c r="T13">
        <v>1</v>
      </c>
      <c r="U13">
        <v>0</v>
      </c>
      <c r="V13">
        <v>920</v>
      </c>
      <c r="W13">
        <v>20</v>
      </c>
      <c r="X13" t="s">
        <v>55</v>
      </c>
      <c r="Y13">
        <v>1</v>
      </c>
      <c r="Z13">
        <v>4</v>
      </c>
      <c r="AA13">
        <v>69</v>
      </c>
      <c r="AB13">
        <v>3</v>
      </c>
      <c r="AC13">
        <v>1</v>
      </c>
      <c r="AD13">
        <v>2</v>
      </c>
      <c r="AE13">
        <v>2148</v>
      </c>
      <c r="AF13">
        <v>6889</v>
      </c>
      <c r="AG13">
        <v>0</v>
      </c>
      <c r="AH13">
        <v>11</v>
      </c>
      <c r="AI13">
        <v>3</v>
      </c>
      <c r="AJ13">
        <v>3</v>
      </c>
      <c r="AK13">
        <v>80</v>
      </c>
      <c r="AL13">
        <v>0</v>
      </c>
      <c r="AM13">
        <v>6</v>
      </c>
      <c r="AN13">
        <v>3</v>
      </c>
      <c r="AO13">
        <v>5</v>
      </c>
      <c r="AP13">
        <v>1</v>
      </c>
      <c r="AQ13">
        <v>1</v>
      </c>
      <c r="AR13">
        <v>4</v>
      </c>
    </row>
    <row r="14" spans="1:44" x14ac:dyDescent="0.3">
      <c r="A14" t="s">
        <v>44</v>
      </c>
      <c r="B14" t="s">
        <v>57</v>
      </c>
      <c r="C14" t="s">
        <v>92</v>
      </c>
      <c r="D14" t="s">
        <v>47</v>
      </c>
      <c r="E14" t="s">
        <v>48</v>
      </c>
      <c r="F14" t="s">
        <v>72</v>
      </c>
      <c r="G14" t="s">
        <v>1522</v>
      </c>
      <c r="H14">
        <v>1624</v>
      </c>
      <c r="I14" t="s">
        <v>51</v>
      </c>
      <c r="J14" t="s">
        <v>99</v>
      </c>
      <c r="K14" t="s">
        <v>53</v>
      </c>
      <c r="L14" t="s">
        <v>44</v>
      </c>
      <c r="M14" t="s">
        <v>54</v>
      </c>
      <c r="N14">
        <v>2</v>
      </c>
      <c r="O14">
        <v>-2</v>
      </c>
      <c r="P14">
        <v>0</v>
      </c>
      <c r="Q14">
        <v>18</v>
      </c>
      <c r="R14">
        <v>1</v>
      </c>
      <c r="S14">
        <v>1</v>
      </c>
      <c r="T14">
        <v>1</v>
      </c>
      <c r="U14">
        <v>0</v>
      </c>
      <c r="V14">
        <v>544</v>
      </c>
      <c r="W14">
        <v>3</v>
      </c>
      <c r="X14" t="s">
        <v>55</v>
      </c>
      <c r="Y14">
        <v>1</v>
      </c>
      <c r="Z14">
        <v>2</v>
      </c>
      <c r="AA14">
        <v>70</v>
      </c>
      <c r="AB14">
        <v>3</v>
      </c>
      <c r="AC14">
        <v>1</v>
      </c>
      <c r="AD14">
        <v>4</v>
      </c>
      <c r="AE14">
        <v>1569</v>
      </c>
      <c r="AF14">
        <v>18420</v>
      </c>
      <c r="AG14">
        <v>1</v>
      </c>
      <c r="AH14">
        <v>12</v>
      </c>
      <c r="AI14">
        <v>3</v>
      </c>
      <c r="AJ14">
        <v>3</v>
      </c>
      <c r="AK14">
        <v>80</v>
      </c>
      <c r="AL14">
        <v>0</v>
      </c>
      <c r="AM14">
        <v>0</v>
      </c>
      <c r="AN14">
        <v>4</v>
      </c>
      <c r="AO14">
        <v>0</v>
      </c>
      <c r="AP14">
        <v>0</v>
      </c>
      <c r="AQ14">
        <v>0</v>
      </c>
      <c r="AR14">
        <v>0</v>
      </c>
    </row>
    <row r="15" spans="1:44" x14ac:dyDescent="0.3">
      <c r="A15" t="s">
        <v>56</v>
      </c>
      <c r="B15" t="s">
        <v>45</v>
      </c>
      <c r="C15" t="s">
        <v>69</v>
      </c>
      <c r="D15" t="s">
        <v>59</v>
      </c>
      <c r="E15" t="s">
        <v>60</v>
      </c>
      <c r="F15" t="s">
        <v>49</v>
      </c>
      <c r="G15" t="s">
        <v>85</v>
      </c>
      <c r="H15">
        <v>15</v>
      </c>
      <c r="I15" t="s">
        <v>51</v>
      </c>
      <c r="J15" t="s">
        <v>68</v>
      </c>
      <c r="K15" t="s">
        <v>53</v>
      </c>
      <c r="L15" t="s">
        <v>44</v>
      </c>
      <c r="M15" t="s">
        <v>54</v>
      </c>
      <c r="N15">
        <v>3</v>
      </c>
      <c r="O15">
        <v>-2</v>
      </c>
      <c r="P15">
        <v>0</v>
      </c>
      <c r="Q15">
        <v>29</v>
      </c>
      <c r="R15">
        <v>0</v>
      </c>
      <c r="T15">
        <v>0</v>
      </c>
      <c r="U15">
        <v>1</v>
      </c>
      <c r="V15">
        <v>153</v>
      </c>
      <c r="W15">
        <v>15</v>
      </c>
      <c r="X15" t="s">
        <v>55</v>
      </c>
      <c r="Y15">
        <v>1</v>
      </c>
      <c r="Z15">
        <v>4</v>
      </c>
      <c r="AA15">
        <v>49</v>
      </c>
      <c r="AB15">
        <v>2</v>
      </c>
      <c r="AC15">
        <v>2</v>
      </c>
      <c r="AD15">
        <v>2</v>
      </c>
      <c r="AE15">
        <v>4193</v>
      </c>
      <c r="AF15">
        <v>12682</v>
      </c>
      <c r="AG15">
        <v>0</v>
      </c>
      <c r="AH15">
        <v>12</v>
      </c>
      <c r="AI15">
        <v>3</v>
      </c>
      <c r="AJ15">
        <v>4</v>
      </c>
      <c r="AK15">
        <v>80</v>
      </c>
      <c r="AL15">
        <v>0</v>
      </c>
      <c r="AM15">
        <v>10</v>
      </c>
      <c r="AN15">
        <v>3</v>
      </c>
      <c r="AO15">
        <v>9</v>
      </c>
      <c r="AP15">
        <v>5</v>
      </c>
      <c r="AQ15">
        <v>0</v>
      </c>
      <c r="AR15">
        <v>8</v>
      </c>
    </row>
    <row r="16" spans="1:44" x14ac:dyDescent="0.3">
      <c r="A16" t="s">
        <v>44</v>
      </c>
      <c r="B16" t="s">
        <v>57</v>
      </c>
      <c r="C16" t="s">
        <v>58</v>
      </c>
      <c r="D16" t="s">
        <v>47</v>
      </c>
      <c r="E16" t="s">
        <v>48</v>
      </c>
      <c r="F16" t="s">
        <v>72</v>
      </c>
      <c r="G16" t="s">
        <v>1521</v>
      </c>
      <c r="H16">
        <v>1691</v>
      </c>
      <c r="I16" t="s">
        <v>51</v>
      </c>
      <c r="J16" t="s">
        <v>99</v>
      </c>
      <c r="K16" t="s">
        <v>64</v>
      </c>
      <c r="L16" t="s">
        <v>44</v>
      </c>
      <c r="M16" t="s">
        <v>54</v>
      </c>
      <c r="N16">
        <v>3</v>
      </c>
      <c r="O16">
        <v>-2</v>
      </c>
      <c r="P16">
        <v>0</v>
      </c>
      <c r="Q16">
        <v>48</v>
      </c>
      <c r="R16">
        <v>1</v>
      </c>
      <c r="S16">
        <v>1</v>
      </c>
      <c r="T16">
        <v>1</v>
      </c>
      <c r="U16">
        <v>0</v>
      </c>
      <c r="V16">
        <v>708</v>
      </c>
      <c r="W16">
        <v>7</v>
      </c>
      <c r="X16" t="s">
        <v>55</v>
      </c>
      <c r="Y16">
        <v>1</v>
      </c>
      <c r="Z16">
        <v>4</v>
      </c>
      <c r="AA16">
        <v>95</v>
      </c>
      <c r="AB16">
        <v>3</v>
      </c>
      <c r="AC16">
        <v>1</v>
      </c>
      <c r="AD16">
        <v>3</v>
      </c>
      <c r="AE16">
        <v>2655</v>
      </c>
      <c r="AF16">
        <v>11740</v>
      </c>
      <c r="AG16">
        <v>2</v>
      </c>
      <c r="AH16">
        <v>11</v>
      </c>
      <c r="AI16">
        <v>3</v>
      </c>
      <c r="AJ16">
        <v>3</v>
      </c>
      <c r="AK16">
        <v>80</v>
      </c>
      <c r="AL16">
        <v>2</v>
      </c>
      <c r="AM16">
        <v>19</v>
      </c>
      <c r="AN16">
        <v>3</v>
      </c>
      <c r="AO16">
        <v>9</v>
      </c>
      <c r="AP16">
        <v>7</v>
      </c>
      <c r="AQ16">
        <v>7</v>
      </c>
      <c r="AR16">
        <v>7</v>
      </c>
    </row>
    <row r="17" spans="1:44" x14ac:dyDescent="0.3">
      <c r="A17" t="s">
        <v>56</v>
      </c>
      <c r="B17" t="s">
        <v>45</v>
      </c>
      <c r="C17" t="s">
        <v>69</v>
      </c>
      <c r="D17" t="s">
        <v>59</v>
      </c>
      <c r="E17" t="s">
        <v>60</v>
      </c>
      <c r="F17" t="s">
        <v>72</v>
      </c>
      <c r="G17" t="s">
        <v>87</v>
      </c>
      <c r="H17">
        <v>18</v>
      </c>
      <c r="I17" t="s">
        <v>62</v>
      </c>
      <c r="J17" t="s">
        <v>68</v>
      </c>
      <c r="K17" t="s">
        <v>79</v>
      </c>
      <c r="L17" t="s">
        <v>56</v>
      </c>
      <c r="M17" t="s">
        <v>54</v>
      </c>
      <c r="N17">
        <v>2</v>
      </c>
      <c r="O17">
        <v>-2</v>
      </c>
      <c r="P17">
        <v>0</v>
      </c>
      <c r="Q17">
        <v>34</v>
      </c>
      <c r="R17">
        <v>0</v>
      </c>
      <c r="T17">
        <v>0</v>
      </c>
      <c r="U17">
        <v>1</v>
      </c>
      <c r="V17">
        <v>1346</v>
      </c>
      <c r="W17">
        <v>19</v>
      </c>
      <c r="X17" t="s">
        <v>55</v>
      </c>
      <c r="Y17">
        <v>1</v>
      </c>
      <c r="Z17">
        <v>2</v>
      </c>
      <c r="AA17">
        <v>93</v>
      </c>
      <c r="AB17">
        <v>3</v>
      </c>
      <c r="AC17">
        <v>1</v>
      </c>
      <c r="AD17">
        <v>4</v>
      </c>
      <c r="AE17">
        <v>2661</v>
      </c>
      <c r="AF17">
        <v>8758</v>
      </c>
      <c r="AG17">
        <v>0</v>
      </c>
      <c r="AH17">
        <v>11</v>
      </c>
      <c r="AI17">
        <v>3</v>
      </c>
      <c r="AJ17">
        <v>3</v>
      </c>
      <c r="AK17">
        <v>80</v>
      </c>
      <c r="AL17">
        <v>1</v>
      </c>
      <c r="AM17">
        <v>3</v>
      </c>
      <c r="AN17">
        <v>3</v>
      </c>
      <c r="AO17">
        <v>2</v>
      </c>
      <c r="AP17">
        <v>2</v>
      </c>
      <c r="AQ17">
        <v>1</v>
      </c>
      <c r="AR17">
        <v>2</v>
      </c>
    </row>
    <row r="18" spans="1:44" x14ac:dyDescent="0.3">
      <c r="A18" t="s">
        <v>44</v>
      </c>
      <c r="B18" t="s">
        <v>57</v>
      </c>
      <c r="C18" t="s">
        <v>69</v>
      </c>
      <c r="D18" t="s">
        <v>47</v>
      </c>
      <c r="E18" t="s">
        <v>60</v>
      </c>
      <c r="F18" t="s">
        <v>49</v>
      </c>
      <c r="G18" t="s">
        <v>1519</v>
      </c>
      <c r="H18">
        <v>1939</v>
      </c>
      <c r="I18" t="s">
        <v>51</v>
      </c>
      <c r="J18" t="s">
        <v>63</v>
      </c>
      <c r="K18" t="s">
        <v>53</v>
      </c>
      <c r="L18" t="s">
        <v>44</v>
      </c>
      <c r="M18" t="s">
        <v>54</v>
      </c>
      <c r="N18">
        <v>2</v>
      </c>
      <c r="O18">
        <v>-2</v>
      </c>
      <c r="P18">
        <v>0</v>
      </c>
      <c r="Q18">
        <v>32</v>
      </c>
      <c r="R18">
        <v>1</v>
      </c>
      <c r="S18">
        <v>1</v>
      </c>
      <c r="T18">
        <v>1</v>
      </c>
      <c r="U18">
        <v>0</v>
      </c>
      <c r="V18">
        <v>238</v>
      </c>
      <c r="W18">
        <v>5</v>
      </c>
      <c r="X18" t="s">
        <v>55</v>
      </c>
      <c r="Y18">
        <v>1</v>
      </c>
      <c r="Z18">
        <v>1</v>
      </c>
      <c r="AA18">
        <v>47</v>
      </c>
      <c r="AB18">
        <v>4</v>
      </c>
      <c r="AC18">
        <v>1</v>
      </c>
      <c r="AD18">
        <v>3</v>
      </c>
      <c r="AE18">
        <v>2432</v>
      </c>
      <c r="AF18">
        <v>15318</v>
      </c>
      <c r="AG18">
        <v>3</v>
      </c>
      <c r="AH18">
        <v>14</v>
      </c>
      <c r="AI18">
        <v>3</v>
      </c>
      <c r="AJ18">
        <v>1</v>
      </c>
      <c r="AK18">
        <v>80</v>
      </c>
      <c r="AL18">
        <v>0</v>
      </c>
      <c r="AM18">
        <v>8</v>
      </c>
      <c r="AN18">
        <v>3</v>
      </c>
      <c r="AO18">
        <v>4</v>
      </c>
      <c r="AP18">
        <v>1</v>
      </c>
      <c r="AQ18">
        <v>0</v>
      </c>
      <c r="AR18">
        <v>3</v>
      </c>
    </row>
    <row r="19" spans="1:44" x14ac:dyDescent="0.3">
      <c r="A19" t="s">
        <v>44</v>
      </c>
      <c r="B19" t="s">
        <v>45</v>
      </c>
      <c r="C19" t="s">
        <v>69</v>
      </c>
      <c r="D19" t="s">
        <v>47</v>
      </c>
      <c r="E19" t="s">
        <v>48</v>
      </c>
      <c r="F19" t="s">
        <v>49</v>
      </c>
      <c r="G19" t="s">
        <v>1516</v>
      </c>
      <c r="H19">
        <v>1734</v>
      </c>
      <c r="I19" t="s">
        <v>62</v>
      </c>
      <c r="J19" t="s">
        <v>52</v>
      </c>
      <c r="K19" t="s">
        <v>53</v>
      </c>
      <c r="L19" t="s">
        <v>56</v>
      </c>
      <c r="M19" t="s">
        <v>54</v>
      </c>
      <c r="N19">
        <v>2</v>
      </c>
      <c r="O19">
        <v>-2</v>
      </c>
      <c r="P19">
        <v>0</v>
      </c>
      <c r="Q19">
        <v>32</v>
      </c>
      <c r="R19">
        <v>1</v>
      </c>
      <c r="S19">
        <v>1</v>
      </c>
      <c r="T19">
        <v>1</v>
      </c>
      <c r="U19">
        <v>0</v>
      </c>
      <c r="V19">
        <v>964</v>
      </c>
      <c r="W19">
        <v>1</v>
      </c>
      <c r="X19" t="s">
        <v>55</v>
      </c>
      <c r="Y19">
        <v>1</v>
      </c>
      <c r="Z19">
        <v>1</v>
      </c>
      <c r="AA19">
        <v>34</v>
      </c>
      <c r="AB19">
        <v>1</v>
      </c>
      <c r="AC19">
        <v>2</v>
      </c>
      <c r="AD19">
        <v>2</v>
      </c>
      <c r="AE19">
        <v>6735</v>
      </c>
      <c r="AF19">
        <v>12147</v>
      </c>
      <c r="AG19">
        <v>6</v>
      </c>
      <c r="AH19">
        <v>15</v>
      </c>
      <c r="AI19">
        <v>3</v>
      </c>
      <c r="AJ19">
        <v>2</v>
      </c>
      <c r="AK19">
        <v>80</v>
      </c>
      <c r="AL19">
        <v>0</v>
      </c>
      <c r="AM19">
        <v>10</v>
      </c>
      <c r="AN19">
        <v>3</v>
      </c>
      <c r="AO19">
        <v>0</v>
      </c>
      <c r="AP19">
        <v>0</v>
      </c>
      <c r="AQ19">
        <v>0</v>
      </c>
      <c r="AR19">
        <v>0</v>
      </c>
    </row>
    <row r="20" spans="1:44" x14ac:dyDescent="0.3">
      <c r="A20" t="s">
        <v>56</v>
      </c>
      <c r="B20" t="s">
        <v>45</v>
      </c>
      <c r="C20" t="s">
        <v>69</v>
      </c>
      <c r="D20" t="s">
        <v>59</v>
      </c>
      <c r="E20" t="s">
        <v>60</v>
      </c>
      <c r="F20" t="s">
        <v>49</v>
      </c>
      <c r="G20" t="s">
        <v>90</v>
      </c>
      <c r="H20">
        <v>21</v>
      </c>
      <c r="I20" t="s">
        <v>62</v>
      </c>
      <c r="J20" t="s">
        <v>63</v>
      </c>
      <c r="K20" t="s">
        <v>79</v>
      </c>
      <c r="L20" t="s">
        <v>44</v>
      </c>
      <c r="M20" t="s">
        <v>54</v>
      </c>
      <c r="N20">
        <v>5</v>
      </c>
      <c r="O20">
        <v>-2</v>
      </c>
      <c r="P20">
        <v>0</v>
      </c>
      <c r="Q20">
        <v>32</v>
      </c>
      <c r="R20">
        <v>0</v>
      </c>
      <c r="T20">
        <v>0</v>
      </c>
      <c r="U20">
        <v>1</v>
      </c>
      <c r="V20">
        <v>334</v>
      </c>
      <c r="W20">
        <v>5</v>
      </c>
      <c r="X20" t="s">
        <v>55</v>
      </c>
      <c r="Y20">
        <v>1</v>
      </c>
      <c r="Z20">
        <v>1</v>
      </c>
      <c r="AA20">
        <v>80</v>
      </c>
      <c r="AB20">
        <v>4</v>
      </c>
      <c r="AC20">
        <v>1</v>
      </c>
      <c r="AD20">
        <v>2</v>
      </c>
      <c r="AE20">
        <v>3298</v>
      </c>
      <c r="AF20">
        <v>15053</v>
      </c>
      <c r="AG20">
        <v>0</v>
      </c>
      <c r="AH20">
        <v>12</v>
      </c>
      <c r="AI20">
        <v>3</v>
      </c>
      <c r="AJ20">
        <v>4</v>
      </c>
      <c r="AK20">
        <v>80</v>
      </c>
      <c r="AL20">
        <v>2</v>
      </c>
      <c r="AM20">
        <v>7</v>
      </c>
      <c r="AN20">
        <v>2</v>
      </c>
      <c r="AO20">
        <v>6</v>
      </c>
      <c r="AP20">
        <v>2</v>
      </c>
      <c r="AQ20">
        <v>0</v>
      </c>
      <c r="AR20">
        <v>5</v>
      </c>
    </row>
    <row r="21" spans="1:44" x14ac:dyDescent="0.3">
      <c r="A21" t="s">
        <v>56</v>
      </c>
      <c r="B21" t="s">
        <v>91</v>
      </c>
      <c r="C21" t="s">
        <v>92</v>
      </c>
      <c r="D21" t="s">
        <v>59</v>
      </c>
      <c r="E21" t="s">
        <v>60</v>
      </c>
      <c r="F21" t="s">
        <v>72</v>
      </c>
      <c r="G21" t="s">
        <v>93</v>
      </c>
      <c r="H21">
        <v>22</v>
      </c>
      <c r="I21" t="s">
        <v>62</v>
      </c>
      <c r="J21" t="s">
        <v>68</v>
      </c>
      <c r="K21" t="s">
        <v>79</v>
      </c>
      <c r="L21" t="s">
        <v>44</v>
      </c>
      <c r="M21" t="s">
        <v>54</v>
      </c>
      <c r="N21">
        <v>2</v>
      </c>
      <c r="O21">
        <v>-2</v>
      </c>
      <c r="P21">
        <v>0</v>
      </c>
      <c r="Q21">
        <v>22</v>
      </c>
      <c r="R21">
        <v>0</v>
      </c>
      <c r="T21">
        <v>0</v>
      </c>
      <c r="U21">
        <v>1</v>
      </c>
      <c r="V21">
        <v>1123</v>
      </c>
      <c r="W21">
        <v>16</v>
      </c>
      <c r="X21" t="s">
        <v>55</v>
      </c>
      <c r="Y21">
        <v>1</v>
      </c>
      <c r="Z21">
        <v>4</v>
      </c>
      <c r="AA21">
        <v>96</v>
      </c>
      <c r="AB21">
        <v>4</v>
      </c>
      <c r="AC21">
        <v>1</v>
      </c>
      <c r="AD21">
        <v>4</v>
      </c>
      <c r="AE21">
        <v>2935</v>
      </c>
      <c r="AF21">
        <v>7324</v>
      </c>
      <c r="AG21">
        <v>1</v>
      </c>
      <c r="AH21">
        <v>13</v>
      </c>
      <c r="AI21">
        <v>3</v>
      </c>
      <c r="AJ21">
        <v>2</v>
      </c>
      <c r="AK21">
        <v>80</v>
      </c>
      <c r="AL21">
        <v>2</v>
      </c>
      <c r="AM21">
        <v>1</v>
      </c>
      <c r="AN21">
        <v>2</v>
      </c>
      <c r="AO21">
        <v>1</v>
      </c>
      <c r="AP21">
        <v>0</v>
      </c>
      <c r="AQ21">
        <v>0</v>
      </c>
      <c r="AR21">
        <v>0</v>
      </c>
    </row>
    <row r="22" spans="1:44" x14ac:dyDescent="0.3">
      <c r="A22" t="s">
        <v>44</v>
      </c>
      <c r="B22" t="s">
        <v>45</v>
      </c>
      <c r="C22" t="s">
        <v>69</v>
      </c>
      <c r="D22" t="s">
        <v>47</v>
      </c>
      <c r="E22" t="s">
        <v>48</v>
      </c>
      <c r="F22" t="s">
        <v>49</v>
      </c>
      <c r="G22" t="s">
        <v>1512</v>
      </c>
      <c r="H22">
        <v>1439</v>
      </c>
      <c r="I22" t="s">
        <v>62</v>
      </c>
      <c r="J22" t="s">
        <v>99</v>
      </c>
      <c r="K22" t="s">
        <v>64</v>
      </c>
      <c r="L22" t="s">
        <v>56</v>
      </c>
      <c r="M22" t="s">
        <v>54</v>
      </c>
      <c r="N22">
        <v>2</v>
      </c>
      <c r="O22">
        <v>-2</v>
      </c>
      <c r="P22">
        <v>0</v>
      </c>
      <c r="Q22">
        <v>25</v>
      </c>
      <c r="R22">
        <v>1</v>
      </c>
      <c r="S22">
        <v>1</v>
      </c>
      <c r="T22">
        <v>1</v>
      </c>
      <c r="U22">
        <v>0</v>
      </c>
      <c r="V22">
        <v>383</v>
      </c>
      <c r="W22">
        <v>9</v>
      </c>
      <c r="X22" t="s">
        <v>55</v>
      </c>
      <c r="Y22">
        <v>1</v>
      </c>
      <c r="Z22">
        <v>1</v>
      </c>
      <c r="AA22">
        <v>68</v>
      </c>
      <c r="AB22">
        <v>2</v>
      </c>
      <c r="AC22">
        <v>1</v>
      </c>
      <c r="AD22">
        <v>1</v>
      </c>
      <c r="AE22">
        <v>4400</v>
      </c>
      <c r="AF22">
        <v>15182</v>
      </c>
      <c r="AG22">
        <v>3</v>
      </c>
      <c r="AH22">
        <v>12</v>
      </c>
      <c r="AI22">
        <v>3</v>
      </c>
      <c r="AJ22">
        <v>1</v>
      </c>
      <c r="AK22">
        <v>80</v>
      </c>
      <c r="AL22">
        <v>0</v>
      </c>
      <c r="AM22">
        <v>6</v>
      </c>
      <c r="AN22">
        <v>3</v>
      </c>
      <c r="AO22">
        <v>3</v>
      </c>
      <c r="AP22">
        <v>2</v>
      </c>
      <c r="AQ22">
        <v>2</v>
      </c>
      <c r="AR22">
        <v>2</v>
      </c>
    </row>
    <row r="23" spans="1:44" x14ac:dyDescent="0.3">
      <c r="A23" t="s">
        <v>44</v>
      </c>
      <c r="B23" t="s">
        <v>45</v>
      </c>
      <c r="C23" t="s">
        <v>75</v>
      </c>
      <c r="D23" t="s">
        <v>47</v>
      </c>
      <c r="E23" t="s">
        <v>60</v>
      </c>
      <c r="F23" t="s">
        <v>49</v>
      </c>
      <c r="G23" t="s">
        <v>1507</v>
      </c>
      <c r="H23">
        <v>1907</v>
      </c>
      <c r="I23" t="s">
        <v>62</v>
      </c>
      <c r="J23" t="s">
        <v>68</v>
      </c>
      <c r="K23" t="s">
        <v>53</v>
      </c>
      <c r="L23" t="s">
        <v>56</v>
      </c>
      <c r="M23" t="s">
        <v>54</v>
      </c>
      <c r="N23">
        <v>3</v>
      </c>
      <c r="O23">
        <v>-2</v>
      </c>
      <c r="P23">
        <v>0</v>
      </c>
      <c r="Q23">
        <v>56</v>
      </c>
      <c r="R23">
        <v>1</v>
      </c>
      <c r="S23">
        <v>1</v>
      </c>
      <c r="T23">
        <v>1</v>
      </c>
      <c r="U23">
        <v>0</v>
      </c>
      <c r="V23">
        <v>1162</v>
      </c>
      <c r="W23">
        <v>24</v>
      </c>
      <c r="X23" t="s">
        <v>55</v>
      </c>
      <c r="Y23">
        <v>1</v>
      </c>
      <c r="Z23">
        <v>1</v>
      </c>
      <c r="AA23">
        <v>97</v>
      </c>
      <c r="AB23">
        <v>3</v>
      </c>
      <c r="AC23">
        <v>1</v>
      </c>
      <c r="AD23">
        <v>4</v>
      </c>
      <c r="AE23">
        <v>2587</v>
      </c>
      <c r="AF23">
        <v>10261</v>
      </c>
      <c r="AG23">
        <v>1</v>
      </c>
      <c r="AH23">
        <v>16</v>
      </c>
      <c r="AI23">
        <v>3</v>
      </c>
      <c r="AJ23">
        <v>4</v>
      </c>
      <c r="AK23">
        <v>80</v>
      </c>
      <c r="AL23">
        <v>0</v>
      </c>
      <c r="AM23">
        <v>5</v>
      </c>
      <c r="AN23">
        <v>3</v>
      </c>
      <c r="AO23">
        <v>4</v>
      </c>
      <c r="AP23">
        <v>2</v>
      </c>
      <c r="AQ23">
        <v>1</v>
      </c>
      <c r="AR23">
        <v>0</v>
      </c>
    </row>
    <row r="24" spans="1:44" x14ac:dyDescent="0.3">
      <c r="A24" t="s">
        <v>56</v>
      </c>
      <c r="B24" t="s">
        <v>91</v>
      </c>
      <c r="C24" t="s">
        <v>92</v>
      </c>
      <c r="D24" t="s">
        <v>59</v>
      </c>
      <c r="E24" t="s">
        <v>60</v>
      </c>
      <c r="F24" t="s">
        <v>66</v>
      </c>
      <c r="G24" t="s">
        <v>97</v>
      </c>
      <c r="H24">
        <v>26</v>
      </c>
      <c r="I24" t="s">
        <v>51</v>
      </c>
      <c r="J24" t="s">
        <v>81</v>
      </c>
      <c r="K24" t="s">
        <v>79</v>
      </c>
      <c r="L24" t="s">
        <v>56</v>
      </c>
      <c r="M24" t="s">
        <v>54</v>
      </c>
      <c r="N24">
        <v>5</v>
      </c>
      <c r="O24">
        <v>-2</v>
      </c>
      <c r="P24">
        <v>0</v>
      </c>
      <c r="Q24">
        <v>24</v>
      </c>
      <c r="R24">
        <v>0</v>
      </c>
      <c r="T24">
        <v>0</v>
      </c>
      <c r="U24">
        <v>1</v>
      </c>
      <c r="V24">
        <v>673</v>
      </c>
      <c r="W24">
        <v>11</v>
      </c>
      <c r="X24" t="s">
        <v>55</v>
      </c>
      <c r="Y24">
        <v>1</v>
      </c>
      <c r="Z24">
        <v>1</v>
      </c>
      <c r="AA24">
        <v>96</v>
      </c>
      <c r="AB24">
        <v>4</v>
      </c>
      <c r="AC24">
        <v>2</v>
      </c>
      <c r="AD24">
        <v>3</v>
      </c>
      <c r="AE24">
        <v>4011</v>
      </c>
      <c r="AF24">
        <v>8232</v>
      </c>
      <c r="AG24">
        <v>0</v>
      </c>
      <c r="AH24">
        <v>18</v>
      </c>
      <c r="AI24">
        <v>3</v>
      </c>
      <c r="AJ24">
        <v>4</v>
      </c>
      <c r="AK24">
        <v>80</v>
      </c>
      <c r="AL24">
        <v>1</v>
      </c>
      <c r="AM24">
        <v>5</v>
      </c>
      <c r="AN24">
        <v>2</v>
      </c>
      <c r="AO24">
        <v>4</v>
      </c>
      <c r="AP24">
        <v>2</v>
      </c>
      <c r="AQ24">
        <v>1</v>
      </c>
      <c r="AR24">
        <v>3</v>
      </c>
    </row>
    <row r="25" spans="1:44" x14ac:dyDescent="0.3">
      <c r="A25" t="s">
        <v>44</v>
      </c>
      <c r="B25" t="s">
        <v>45</v>
      </c>
      <c r="C25" t="s">
        <v>75</v>
      </c>
      <c r="D25" t="s">
        <v>47</v>
      </c>
      <c r="E25" t="s">
        <v>60</v>
      </c>
      <c r="F25" t="s">
        <v>113</v>
      </c>
      <c r="G25" t="s">
        <v>1504</v>
      </c>
      <c r="H25">
        <v>2032</v>
      </c>
      <c r="I25" t="s">
        <v>62</v>
      </c>
      <c r="J25" t="s">
        <v>68</v>
      </c>
      <c r="K25" t="s">
        <v>64</v>
      </c>
      <c r="L25" t="s">
        <v>56</v>
      </c>
      <c r="M25" t="s">
        <v>54</v>
      </c>
      <c r="N25">
        <v>4</v>
      </c>
      <c r="O25">
        <v>-2</v>
      </c>
      <c r="P25">
        <v>0</v>
      </c>
      <c r="Q25">
        <v>56</v>
      </c>
      <c r="R25">
        <v>1</v>
      </c>
      <c r="S25">
        <v>1</v>
      </c>
      <c r="T25">
        <v>1</v>
      </c>
      <c r="U25">
        <v>0</v>
      </c>
      <c r="V25">
        <v>310</v>
      </c>
      <c r="W25">
        <v>7</v>
      </c>
      <c r="X25" t="s">
        <v>55</v>
      </c>
      <c r="Y25">
        <v>1</v>
      </c>
      <c r="Z25">
        <v>4</v>
      </c>
      <c r="AA25">
        <v>72</v>
      </c>
      <c r="AB25">
        <v>3</v>
      </c>
      <c r="AC25">
        <v>1</v>
      </c>
      <c r="AD25">
        <v>4</v>
      </c>
      <c r="AE25">
        <v>2339</v>
      </c>
      <c r="AF25">
        <v>3666</v>
      </c>
      <c r="AG25">
        <v>8</v>
      </c>
      <c r="AH25">
        <v>11</v>
      </c>
      <c r="AI25">
        <v>3</v>
      </c>
      <c r="AJ25">
        <v>4</v>
      </c>
      <c r="AK25">
        <v>80</v>
      </c>
      <c r="AL25">
        <v>1</v>
      </c>
      <c r="AM25">
        <v>14</v>
      </c>
      <c r="AN25">
        <v>1</v>
      </c>
      <c r="AO25">
        <v>10</v>
      </c>
      <c r="AP25">
        <v>9</v>
      </c>
      <c r="AQ25">
        <v>9</v>
      </c>
      <c r="AR25">
        <v>8</v>
      </c>
    </row>
    <row r="26" spans="1:44" x14ac:dyDescent="0.3">
      <c r="A26" t="s">
        <v>44</v>
      </c>
      <c r="B26" t="s">
        <v>57</v>
      </c>
      <c r="C26" t="s">
        <v>69</v>
      </c>
      <c r="D26" t="s">
        <v>47</v>
      </c>
      <c r="E26" t="s">
        <v>60</v>
      </c>
      <c r="F26" t="s">
        <v>72</v>
      </c>
      <c r="G26" t="s">
        <v>1495</v>
      </c>
      <c r="H26">
        <v>1504</v>
      </c>
      <c r="I26" t="s">
        <v>62</v>
      </c>
      <c r="J26" t="s">
        <v>68</v>
      </c>
      <c r="K26" t="s">
        <v>53</v>
      </c>
      <c r="L26" t="s">
        <v>56</v>
      </c>
      <c r="M26" t="s">
        <v>54</v>
      </c>
      <c r="N26">
        <v>2</v>
      </c>
      <c r="O26">
        <v>-2</v>
      </c>
      <c r="P26">
        <v>0</v>
      </c>
      <c r="Q26">
        <v>28</v>
      </c>
      <c r="R26">
        <v>1</v>
      </c>
      <c r="S26">
        <v>1</v>
      </c>
      <c r="T26">
        <v>1</v>
      </c>
      <c r="U26">
        <v>0</v>
      </c>
      <c r="V26">
        <v>289</v>
      </c>
      <c r="W26">
        <v>2</v>
      </c>
      <c r="X26" t="s">
        <v>55</v>
      </c>
      <c r="Y26">
        <v>1</v>
      </c>
      <c r="Z26">
        <v>3</v>
      </c>
      <c r="AA26">
        <v>38</v>
      </c>
      <c r="AB26">
        <v>2</v>
      </c>
      <c r="AC26">
        <v>1</v>
      </c>
      <c r="AD26">
        <v>1</v>
      </c>
      <c r="AE26">
        <v>2561</v>
      </c>
      <c r="AF26">
        <v>5355</v>
      </c>
      <c r="AG26">
        <v>7</v>
      </c>
      <c r="AH26">
        <v>11</v>
      </c>
      <c r="AI26">
        <v>3</v>
      </c>
      <c r="AJ26">
        <v>3</v>
      </c>
      <c r="AK26">
        <v>80</v>
      </c>
      <c r="AL26">
        <v>0</v>
      </c>
      <c r="AM26">
        <v>8</v>
      </c>
      <c r="AN26">
        <v>2</v>
      </c>
      <c r="AO26">
        <v>0</v>
      </c>
      <c r="AP26">
        <v>0</v>
      </c>
      <c r="AQ26">
        <v>0</v>
      </c>
      <c r="AR26">
        <v>0</v>
      </c>
    </row>
    <row r="27" spans="1:44" x14ac:dyDescent="0.3">
      <c r="A27" t="s">
        <v>56</v>
      </c>
      <c r="B27" t="s">
        <v>45</v>
      </c>
      <c r="C27" t="s">
        <v>92</v>
      </c>
      <c r="D27" t="s">
        <v>59</v>
      </c>
      <c r="E27" t="s">
        <v>60</v>
      </c>
      <c r="F27" t="s">
        <v>49</v>
      </c>
      <c r="G27" t="s">
        <v>102</v>
      </c>
      <c r="H27">
        <v>30</v>
      </c>
      <c r="I27" t="s">
        <v>62</v>
      </c>
      <c r="J27" t="s">
        <v>63</v>
      </c>
      <c r="K27" t="s">
        <v>53</v>
      </c>
      <c r="L27" t="s">
        <v>56</v>
      </c>
      <c r="M27" t="s">
        <v>54</v>
      </c>
      <c r="N27">
        <v>6</v>
      </c>
      <c r="O27">
        <v>-2</v>
      </c>
      <c r="P27">
        <v>0</v>
      </c>
      <c r="Q27">
        <v>21</v>
      </c>
      <c r="R27">
        <v>0</v>
      </c>
      <c r="T27">
        <v>0</v>
      </c>
      <c r="U27">
        <v>1</v>
      </c>
      <c r="V27">
        <v>391</v>
      </c>
      <c r="W27">
        <v>15</v>
      </c>
      <c r="X27" t="s">
        <v>55</v>
      </c>
      <c r="Y27">
        <v>1</v>
      </c>
      <c r="Z27">
        <v>3</v>
      </c>
      <c r="AA27">
        <v>96</v>
      </c>
      <c r="AB27">
        <v>3</v>
      </c>
      <c r="AC27">
        <v>1</v>
      </c>
      <c r="AD27">
        <v>2</v>
      </c>
      <c r="AE27">
        <v>1232</v>
      </c>
      <c r="AF27">
        <v>19281</v>
      </c>
      <c r="AG27">
        <v>1</v>
      </c>
      <c r="AH27">
        <v>14</v>
      </c>
      <c r="AI27">
        <v>3</v>
      </c>
      <c r="AJ27">
        <v>4</v>
      </c>
      <c r="AK27">
        <v>80</v>
      </c>
      <c r="AL27">
        <v>0</v>
      </c>
      <c r="AM27">
        <v>0</v>
      </c>
      <c r="AN27">
        <v>3</v>
      </c>
      <c r="AO27">
        <v>0</v>
      </c>
      <c r="AP27">
        <v>0</v>
      </c>
      <c r="AQ27">
        <v>0</v>
      </c>
      <c r="AR27">
        <v>0</v>
      </c>
    </row>
    <row r="28" spans="1:44" x14ac:dyDescent="0.3">
      <c r="A28" t="s">
        <v>56</v>
      </c>
      <c r="B28" t="s">
        <v>45</v>
      </c>
      <c r="C28" t="s">
        <v>69</v>
      </c>
      <c r="D28" t="s">
        <v>59</v>
      </c>
      <c r="E28" t="s">
        <v>48</v>
      </c>
      <c r="F28" t="s">
        <v>113</v>
      </c>
      <c r="G28" t="s">
        <v>1482</v>
      </c>
      <c r="H28">
        <v>1541</v>
      </c>
      <c r="I28" t="s">
        <v>62</v>
      </c>
      <c r="J28" t="s">
        <v>99</v>
      </c>
      <c r="K28" t="s">
        <v>64</v>
      </c>
      <c r="L28" t="s">
        <v>44</v>
      </c>
      <c r="M28" t="s">
        <v>54</v>
      </c>
      <c r="N28">
        <v>4</v>
      </c>
      <c r="O28">
        <v>-2</v>
      </c>
      <c r="P28">
        <v>0</v>
      </c>
      <c r="Q28">
        <v>34</v>
      </c>
      <c r="R28">
        <v>0</v>
      </c>
      <c r="T28">
        <v>0</v>
      </c>
      <c r="U28">
        <v>1</v>
      </c>
      <c r="V28">
        <v>1440</v>
      </c>
      <c r="W28">
        <v>7</v>
      </c>
      <c r="X28" t="s">
        <v>55</v>
      </c>
      <c r="Y28">
        <v>1</v>
      </c>
      <c r="Z28">
        <v>4</v>
      </c>
      <c r="AA28">
        <v>55</v>
      </c>
      <c r="AB28">
        <v>3</v>
      </c>
      <c r="AC28">
        <v>1</v>
      </c>
      <c r="AD28">
        <v>4</v>
      </c>
      <c r="AE28">
        <v>2308</v>
      </c>
      <c r="AF28">
        <v>4944</v>
      </c>
      <c r="AG28">
        <v>0</v>
      </c>
      <c r="AH28">
        <v>25</v>
      </c>
      <c r="AI28">
        <v>4</v>
      </c>
      <c r="AJ28">
        <v>2</v>
      </c>
      <c r="AK28">
        <v>80</v>
      </c>
      <c r="AL28">
        <v>1</v>
      </c>
      <c r="AM28">
        <v>12</v>
      </c>
      <c r="AN28">
        <v>3</v>
      </c>
      <c r="AO28">
        <v>11</v>
      </c>
      <c r="AP28">
        <v>10</v>
      </c>
      <c r="AQ28">
        <v>5</v>
      </c>
      <c r="AR28">
        <v>7</v>
      </c>
    </row>
    <row r="29" spans="1:44" x14ac:dyDescent="0.3">
      <c r="A29" t="s">
        <v>56</v>
      </c>
      <c r="B29" t="s">
        <v>45</v>
      </c>
      <c r="C29" t="s">
        <v>46</v>
      </c>
      <c r="D29" t="s">
        <v>59</v>
      </c>
      <c r="E29" t="s">
        <v>161</v>
      </c>
      <c r="F29" t="s">
        <v>72</v>
      </c>
      <c r="G29" t="s">
        <v>1479</v>
      </c>
      <c r="H29">
        <v>1550</v>
      </c>
      <c r="I29" t="s">
        <v>62</v>
      </c>
      <c r="J29" t="s">
        <v>95</v>
      </c>
      <c r="K29" t="s">
        <v>53</v>
      </c>
      <c r="L29" t="s">
        <v>44</v>
      </c>
      <c r="M29" t="s">
        <v>54</v>
      </c>
      <c r="N29">
        <v>2</v>
      </c>
      <c r="O29">
        <v>-2</v>
      </c>
      <c r="P29">
        <v>0</v>
      </c>
      <c r="Q29">
        <v>40</v>
      </c>
      <c r="R29">
        <v>0</v>
      </c>
      <c r="T29">
        <v>0</v>
      </c>
      <c r="U29">
        <v>1</v>
      </c>
      <c r="V29">
        <v>898</v>
      </c>
      <c r="W29">
        <v>6</v>
      </c>
      <c r="X29" t="s">
        <v>55</v>
      </c>
      <c r="Y29">
        <v>1</v>
      </c>
      <c r="Z29">
        <v>3</v>
      </c>
      <c r="AA29">
        <v>38</v>
      </c>
      <c r="AB29">
        <v>3</v>
      </c>
      <c r="AC29">
        <v>4</v>
      </c>
      <c r="AD29">
        <v>4</v>
      </c>
      <c r="AE29">
        <v>16437</v>
      </c>
      <c r="AF29">
        <v>17381</v>
      </c>
      <c r="AG29">
        <v>1</v>
      </c>
      <c r="AH29">
        <v>21</v>
      </c>
      <c r="AI29">
        <v>4</v>
      </c>
      <c r="AJ29">
        <v>4</v>
      </c>
      <c r="AK29">
        <v>80</v>
      </c>
      <c r="AL29">
        <v>0</v>
      </c>
      <c r="AM29">
        <v>21</v>
      </c>
      <c r="AN29">
        <v>3</v>
      </c>
      <c r="AO29">
        <v>21</v>
      </c>
      <c r="AP29">
        <v>7</v>
      </c>
      <c r="AQ29">
        <v>7</v>
      </c>
      <c r="AR29">
        <v>7</v>
      </c>
    </row>
    <row r="30" spans="1:44" x14ac:dyDescent="0.3">
      <c r="A30" t="s">
        <v>56</v>
      </c>
      <c r="B30" t="s">
        <v>45</v>
      </c>
      <c r="C30" t="s">
        <v>69</v>
      </c>
      <c r="D30" t="s">
        <v>59</v>
      </c>
      <c r="E30" t="s">
        <v>48</v>
      </c>
      <c r="F30" t="s">
        <v>66</v>
      </c>
      <c r="G30" t="s">
        <v>1477</v>
      </c>
      <c r="H30">
        <v>2018</v>
      </c>
      <c r="I30" t="s">
        <v>51</v>
      </c>
      <c r="J30" t="s">
        <v>52</v>
      </c>
      <c r="K30" t="s">
        <v>79</v>
      </c>
      <c r="L30" t="s">
        <v>44</v>
      </c>
      <c r="M30" t="s">
        <v>54</v>
      </c>
      <c r="N30">
        <v>3</v>
      </c>
      <c r="O30">
        <v>-2</v>
      </c>
      <c r="P30">
        <v>0</v>
      </c>
      <c r="Q30">
        <v>25</v>
      </c>
      <c r="R30">
        <v>0</v>
      </c>
      <c r="T30">
        <v>0</v>
      </c>
      <c r="U30">
        <v>1</v>
      </c>
      <c r="V30">
        <v>1382</v>
      </c>
      <c r="W30">
        <v>8</v>
      </c>
      <c r="X30" t="s">
        <v>55</v>
      </c>
      <c r="Y30">
        <v>1</v>
      </c>
      <c r="Z30">
        <v>1</v>
      </c>
      <c r="AA30">
        <v>85</v>
      </c>
      <c r="AB30">
        <v>3</v>
      </c>
      <c r="AC30">
        <v>2</v>
      </c>
      <c r="AD30">
        <v>3</v>
      </c>
      <c r="AE30">
        <v>4907</v>
      </c>
      <c r="AF30">
        <v>13684</v>
      </c>
      <c r="AG30">
        <v>0</v>
      </c>
      <c r="AH30">
        <v>22</v>
      </c>
      <c r="AI30">
        <v>4</v>
      </c>
      <c r="AJ30">
        <v>2</v>
      </c>
      <c r="AK30">
        <v>80</v>
      </c>
      <c r="AL30">
        <v>1</v>
      </c>
      <c r="AM30">
        <v>6</v>
      </c>
      <c r="AN30">
        <v>2</v>
      </c>
      <c r="AO30">
        <v>5</v>
      </c>
      <c r="AP30">
        <v>3</v>
      </c>
      <c r="AQ30">
        <v>0</v>
      </c>
      <c r="AR30">
        <v>4</v>
      </c>
    </row>
    <row r="31" spans="1:44" x14ac:dyDescent="0.3">
      <c r="A31" t="s">
        <v>56</v>
      </c>
      <c r="B31" t="s">
        <v>45</v>
      </c>
      <c r="C31" t="s">
        <v>69</v>
      </c>
      <c r="D31" t="s">
        <v>59</v>
      </c>
      <c r="E31" t="s">
        <v>48</v>
      </c>
      <c r="F31" t="s">
        <v>113</v>
      </c>
      <c r="G31" t="s">
        <v>1470</v>
      </c>
      <c r="H31">
        <v>1823</v>
      </c>
      <c r="I31" t="s">
        <v>62</v>
      </c>
      <c r="J31" t="s">
        <v>52</v>
      </c>
      <c r="K31" t="s">
        <v>64</v>
      </c>
      <c r="L31" t="s">
        <v>56</v>
      </c>
      <c r="M31" t="s">
        <v>54</v>
      </c>
      <c r="N31">
        <v>5</v>
      </c>
      <c r="O31">
        <v>-2</v>
      </c>
      <c r="P31">
        <v>0</v>
      </c>
      <c r="Q31">
        <v>34</v>
      </c>
      <c r="R31">
        <v>0</v>
      </c>
      <c r="T31">
        <v>0</v>
      </c>
      <c r="U31">
        <v>1</v>
      </c>
      <c r="V31">
        <v>810</v>
      </c>
      <c r="W31">
        <v>8</v>
      </c>
      <c r="X31" t="s">
        <v>55</v>
      </c>
      <c r="Y31">
        <v>1</v>
      </c>
      <c r="Z31">
        <v>4</v>
      </c>
      <c r="AA31">
        <v>92</v>
      </c>
      <c r="AB31">
        <v>4</v>
      </c>
      <c r="AC31">
        <v>2</v>
      </c>
      <c r="AD31">
        <v>4</v>
      </c>
      <c r="AE31">
        <v>6799</v>
      </c>
      <c r="AF31">
        <v>22128</v>
      </c>
      <c r="AG31">
        <v>1</v>
      </c>
      <c r="AH31">
        <v>21</v>
      </c>
      <c r="AI31">
        <v>4</v>
      </c>
      <c r="AJ31">
        <v>3</v>
      </c>
      <c r="AK31">
        <v>80</v>
      </c>
      <c r="AL31">
        <v>2</v>
      </c>
      <c r="AM31">
        <v>10</v>
      </c>
      <c r="AN31">
        <v>3</v>
      </c>
      <c r="AO31">
        <v>10</v>
      </c>
      <c r="AP31">
        <v>8</v>
      </c>
      <c r="AQ31">
        <v>4</v>
      </c>
      <c r="AR31">
        <v>8</v>
      </c>
    </row>
    <row r="32" spans="1:44" x14ac:dyDescent="0.3">
      <c r="A32" t="s">
        <v>56</v>
      </c>
      <c r="B32" t="s">
        <v>45</v>
      </c>
      <c r="C32" t="s">
        <v>46</v>
      </c>
      <c r="D32" t="s">
        <v>59</v>
      </c>
      <c r="E32" t="s">
        <v>60</v>
      </c>
      <c r="F32" t="s">
        <v>66</v>
      </c>
      <c r="G32" t="s">
        <v>1468</v>
      </c>
      <c r="H32">
        <v>1595</v>
      </c>
      <c r="I32" t="s">
        <v>62</v>
      </c>
      <c r="J32" t="s">
        <v>95</v>
      </c>
      <c r="K32" t="s">
        <v>53</v>
      </c>
      <c r="L32" t="s">
        <v>56</v>
      </c>
      <c r="M32" t="s">
        <v>54</v>
      </c>
      <c r="N32">
        <v>2</v>
      </c>
      <c r="O32">
        <v>-2</v>
      </c>
      <c r="P32">
        <v>0</v>
      </c>
      <c r="Q32">
        <v>42</v>
      </c>
      <c r="R32">
        <v>0</v>
      </c>
      <c r="T32">
        <v>0</v>
      </c>
      <c r="U32">
        <v>1</v>
      </c>
      <c r="V32">
        <v>1059</v>
      </c>
      <c r="W32">
        <v>9</v>
      </c>
      <c r="X32" t="s">
        <v>55</v>
      </c>
      <c r="Y32">
        <v>1</v>
      </c>
      <c r="Z32">
        <v>4</v>
      </c>
      <c r="AA32">
        <v>93</v>
      </c>
      <c r="AB32">
        <v>2</v>
      </c>
      <c r="AC32">
        <v>5</v>
      </c>
      <c r="AD32">
        <v>4</v>
      </c>
      <c r="AE32">
        <v>19613</v>
      </c>
      <c r="AF32">
        <v>26362</v>
      </c>
      <c r="AG32">
        <v>8</v>
      </c>
      <c r="AH32">
        <v>22</v>
      </c>
      <c r="AI32">
        <v>4</v>
      </c>
      <c r="AJ32">
        <v>4</v>
      </c>
      <c r="AK32">
        <v>80</v>
      </c>
      <c r="AL32">
        <v>0</v>
      </c>
      <c r="AM32">
        <v>24</v>
      </c>
      <c r="AN32">
        <v>3</v>
      </c>
      <c r="AO32">
        <v>1</v>
      </c>
      <c r="AP32">
        <v>0</v>
      </c>
      <c r="AQ32">
        <v>0</v>
      </c>
      <c r="AR32">
        <v>1</v>
      </c>
    </row>
    <row r="33" spans="1:44" x14ac:dyDescent="0.3">
      <c r="A33" t="s">
        <v>56</v>
      </c>
      <c r="B33" t="s">
        <v>45</v>
      </c>
      <c r="C33" t="s">
        <v>46</v>
      </c>
      <c r="D33" t="s">
        <v>59</v>
      </c>
      <c r="E33" t="s">
        <v>60</v>
      </c>
      <c r="F33" t="s">
        <v>49</v>
      </c>
      <c r="G33" t="s">
        <v>1461</v>
      </c>
      <c r="H33">
        <v>1666</v>
      </c>
      <c r="I33" t="s">
        <v>62</v>
      </c>
      <c r="J33" t="s">
        <v>101</v>
      </c>
      <c r="K33" t="s">
        <v>64</v>
      </c>
      <c r="L33" t="s">
        <v>56</v>
      </c>
      <c r="M33" t="s">
        <v>54</v>
      </c>
      <c r="N33">
        <v>3</v>
      </c>
      <c r="O33">
        <v>-2</v>
      </c>
      <c r="P33">
        <v>0</v>
      </c>
      <c r="Q33">
        <v>43</v>
      </c>
      <c r="R33">
        <v>0</v>
      </c>
      <c r="T33">
        <v>0</v>
      </c>
      <c r="U33">
        <v>1</v>
      </c>
      <c r="V33">
        <v>1291</v>
      </c>
      <c r="W33">
        <v>15</v>
      </c>
      <c r="X33" t="s">
        <v>55</v>
      </c>
      <c r="Y33">
        <v>1</v>
      </c>
      <c r="Z33">
        <v>3</v>
      </c>
      <c r="AA33">
        <v>65</v>
      </c>
      <c r="AB33">
        <v>2</v>
      </c>
      <c r="AC33">
        <v>4</v>
      </c>
      <c r="AD33">
        <v>3</v>
      </c>
      <c r="AE33">
        <v>17603</v>
      </c>
      <c r="AF33">
        <v>3525</v>
      </c>
      <c r="AG33">
        <v>1</v>
      </c>
      <c r="AH33">
        <v>24</v>
      </c>
      <c r="AI33">
        <v>4</v>
      </c>
      <c r="AJ33">
        <v>1</v>
      </c>
      <c r="AK33">
        <v>80</v>
      </c>
      <c r="AL33">
        <v>1</v>
      </c>
      <c r="AM33">
        <v>14</v>
      </c>
      <c r="AN33">
        <v>3</v>
      </c>
      <c r="AO33">
        <v>14</v>
      </c>
      <c r="AP33">
        <v>10</v>
      </c>
      <c r="AQ33">
        <v>6</v>
      </c>
      <c r="AR33">
        <v>11</v>
      </c>
    </row>
    <row r="34" spans="1:44" x14ac:dyDescent="0.3">
      <c r="A34" t="s">
        <v>56</v>
      </c>
      <c r="B34" t="s">
        <v>45</v>
      </c>
      <c r="C34" t="s">
        <v>75</v>
      </c>
      <c r="D34" t="s">
        <v>59</v>
      </c>
      <c r="E34" t="s">
        <v>60</v>
      </c>
      <c r="F34" t="s">
        <v>49</v>
      </c>
      <c r="G34" t="s">
        <v>1460</v>
      </c>
      <c r="H34">
        <v>1483</v>
      </c>
      <c r="I34" t="s">
        <v>62</v>
      </c>
      <c r="J34" t="s">
        <v>63</v>
      </c>
      <c r="K34" t="s">
        <v>64</v>
      </c>
      <c r="L34" t="s">
        <v>56</v>
      </c>
      <c r="M34" t="s">
        <v>54</v>
      </c>
      <c r="N34">
        <v>2</v>
      </c>
      <c r="O34">
        <v>-2</v>
      </c>
      <c r="P34">
        <v>0</v>
      </c>
      <c r="Q34">
        <v>57</v>
      </c>
      <c r="R34">
        <v>0</v>
      </c>
      <c r="T34">
        <v>0</v>
      </c>
      <c r="U34">
        <v>1</v>
      </c>
      <c r="V34">
        <v>405</v>
      </c>
      <c r="W34">
        <v>1</v>
      </c>
      <c r="X34" t="s">
        <v>55</v>
      </c>
      <c r="Y34">
        <v>1</v>
      </c>
      <c r="Z34">
        <v>2</v>
      </c>
      <c r="AA34">
        <v>93</v>
      </c>
      <c r="AB34">
        <v>4</v>
      </c>
      <c r="AC34">
        <v>2</v>
      </c>
      <c r="AD34">
        <v>3</v>
      </c>
      <c r="AE34">
        <v>4900</v>
      </c>
      <c r="AF34">
        <v>2721</v>
      </c>
      <c r="AG34">
        <v>0</v>
      </c>
      <c r="AH34">
        <v>24</v>
      </c>
      <c r="AI34">
        <v>4</v>
      </c>
      <c r="AJ34">
        <v>1</v>
      </c>
      <c r="AK34">
        <v>80</v>
      </c>
      <c r="AL34">
        <v>1</v>
      </c>
      <c r="AM34">
        <v>13</v>
      </c>
      <c r="AN34">
        <v>2</v>
      </c>
      <c r="AO34">
        <v>12</v>
      </c>
      <c r="AP34">
        <v>9</v>
      </c>
      <c r="AQ34">
        <v>2</v>
      </c>
      <c r="AR34">
        <v>8</v>
      </c>
    </row>
    <row r="35" spans="1:44" x14ac:dyDescent="0.3">
      <c r="A35" t="s">
        <v>56</v>
      </c>
      <c r="B35" t="s">
        <v>45</v>
      </c>
      <c r="C35" t="s">
        <v>46</v>
      </c>
      <c r="D35" t="s">
        <v>59</v>
      </c>
      <c r="E35" t="s">
        <v>60</v>
      </c>
      <c r="F35" t="s">
        <v>72</v>
      </c>
      <c r="G35" t="s">
        <v>1458</v>
      </c>
      <c r="H35">
        <v>1936</v>
      </c>
      <c r="I35" t="s">
        <v>62</v>
      </c>
      <c r="J35" t="s">
        <v>81</v>
      </c>
      <c r="K35" t="s">
        <v>64</v>
      </c>
      <c r="L35" t="s">
        <v>56</v>
      </c>
      <c r="M35" t="s">
        <v>54</v>
      </c>
      <c r="N35">
        <v>3</v>
      </c>
      <c r="O35">
        <v>-2</v>
      </c>
      <c r="P35">
        <v>0</v>
      </c>
      <c r="Q35">
        <v>39</v>
      </c>
      <c r="R35">
        <v>0</v>
      </c>
      <c r="T35">
        <v>0</v>
      </c>
      <c r="U35">
        <v>1</v>
      </c>
      <c r="V35">
        <v>867</v>
      </c>
      <c r="W35">
        <v>9</v>
      </c>
      <c r="X35" t="s">
        <v>55</v>
      </c>
      <c r="Y35">
        <v>1</v>
      </c>
      <c r="Z35">
        <v>1</v>
      </c>
      <c r="AA35">
        <v>87</v>
      </c>
      <c r="AB35">
        <v>3</v>
      </c>
      <c r="AC35">
        <v>2</v>
      </c>
      <c r="AD35">
        <v>1</v>
      </c>
      <c r="AE35">
        <v>5151</v>
      </c>
      <c r="AF35">
        <v>12315</v>
      </c>
      <c r="AG35">
        <v>1</v>
      </c>
      <c r="AH35">
        <v>25</v>
      </c>
      <c r="AI35">
        <v>4</v>
      </c>
      <c r="AJ35">
        <v>4</v>
      </c>
      <c r="AK35">
        <v>80</v>
      </c>
      <c r="AL35">
        <v>1</v>
      </c>
      <c r="AM35">
        <v>10</v>
      </c>
      <c r="AN35">
        <v>3</v>
      </c>
      <c r="AO35">
        <v>10</v>
      </c>
      <c r="AP35">
        <v>0</v>
      </c>
      <c r="AQ35">
        <v>7</v>
      </c>
      <c r="AR35">
        <v>9</v>
      </c>
    </row>
    <row r="36" spans="1:44" x14ac:dyDescent="0.3">
      <c r="A36" t="s">
        <v>56</v>
      </c>
      <c r="B36" t="s">
        <v>45</v>
      </c>
      <c r="C36" t="s">
        <v>69</v>
      </c>
      <c r="D36" t="s">
        <v>59</v>
      </c>
      <c r="E36" t="s">
        <v>60</v>
      </c>
      <c r="F36" t="s">
        <v>72</v>
      </c>
      <c r="G36" t="s">
        <v>112</v>
      </c>
      <c r="H36">
        <v>41</v>
      </c>
      <c r="I36" t="s">
        <v>62</v>
      </c>
      <c r="J36" t="s">
        <v>68</v>
      </c>
      <c r="K36" t="s">
        <v>53</v>
      </c>
      <c r="L36" t="s">
        <v>56</v>
      </c>
      <c r="M36" t="s">
        <v>54</v>
      </c>
      <c r="N36">
        <v>5</v>
      </c>
      <c r="O36">
        <v>-2</v>
      </c>
      <c r="P36">
        <v>0</v>
      </c>
      <c r="Q36">
        <v>30</v>
      </c>
      <c r="R36">
        <v>0</v>
      </c>
      <c r="T36">
        <v>0</v>
      </c>
      <c r="U36">
        <v>1</v>
      </c>
      <c r="V36">
        <v>125</v>
      </c>
      <c r="W36">
        <v>9</v>
      </c>
      <c r="X36" t="s">
        <v>55</v>
      </c>
      <c r="Y36">
        <v>1</v>
      </c>
      <c r="Z36">
        <v>4</v>
      </c>
      <c r="AA36">
        <v>83</v>
      </c>
      <c r="AB36">
        <v>2</v>
      </c>
      <c r="AC36">
        <v>1</v>
      </c>
      <c r="AD36">
        <v>3</v>
      </c>
      <c r="AE36">
        <v>2206</v>
      </c>
      <c r="AF36">
        <v>16117</v>
      </c>
      <c r="AG36">
        <v>1</v>
      </c>
      <c r="AH36">
        <v>13</v>
      </c>
      <c r="AI36">
        <v>3</v>
      </c>
      <c r="AJ36">
        <v>1</v>
      </c>
      <c r="AK36">
        <v>80</v>
      </c>
      <c r="AL36">
        <v>0</v>
      </c>
      <c r="AM36">
        <v>10</v>
      </c>
      <c r="AN36">
        <v>3</v>
      </c>
      <c r="AO36">
        <v>10</v>
      </c>
      <c r="AP36">
        <v>0</v>
      </c>
      <c r="AQ36">
        <v>1</v>
      </c>
      <c r="AR36">
        <v>8</v>
      </c>
    </row>
    <row r="37" spans="1:44" x14ac:dyDescent="0.3">
      <c r="A37" t="s">
        <v>56</v>
      </c>
      <c r="B37" t="s">
        <v>45</v>
      </c>
      <c r="C37" t="s">
        <v>46</v>
      </c>
      <c r="D37" t="s">
        <v>59</v>
      </c>
      <c r="E37" t="s">
        <v>60</v>
      </c>
      <c r="F37" t="s">
        <v>49</v>
      </c>
      <c r="G37" t="s">
        <v>1454</v>
      </c>
      <c r="H37">
        <v>1664</v>
      </c>
      <c r="I37" t="s">
        <v>62</v>
      </c>
      <c r="J37" t="s">
        <v>83</v>
      </c>
      <c r="K37" t="s">
        <v>79</v>
      </c>
      <c r="L37" t="s">
        <v>56</v>
      </c>
      <c r="M37" t="s">
        <v>54</v>
      </c>
      <c r="N37">
        <v>3</v>
      </c>
      <c r="O37">
        <v>-2</v>
      </c>
      <c r="P37">
        <v>0</v>
      </c>
      <c r="Q37">
        <v>36</v>
      </c>
      <c r="R37">
        <v>0</v>
      </c>
      <c r="T37">
        <v>0</v>
      </c>
      <c r="U37">
        <v>1</v>
      </c>
      <c r="V37">
        <v>1040</v>
      </c>
      <c r="W37">
        <v>3</v>
      </c>
      <c r="X37" t="s">
        <v>55</v>
      </c>
      <c r="Y37">
        <v>1</v>
      </c>
      <c r="Z37">
        <v>4</v>
      </c>
      <c r="AA37">
        <v>79</v>
      </c>
      <c r="AB37">
        <v>4</v>
      </c>
      <c r="AC37">
        <v>2</v>
      </c>
      <c r="AD37">
        <v>1</v>
      </c>
      <c r="AE37">
        <v>6842</v>
      </c>
      <c r="AF37">
        <v>26308</v>
      </c>
      <c r="AG37">
        <v>6</v>
      </c>
      <c r="AH37">
        <v>20</v>
      </c>
      <c r="AI37">
        <v>4</v>
      </c>
      <c r="AJ37">
        <v>1</v>
      </c>
      <c r="AK37">
        <v>80</v>
      </c>
      <c r="AL37">
        <v>1</v>
      </c>
      <c r="AM37">
        <v>13</v>
      </c>
      <c r="AN37">
        <v>3</v>
      </c>
      <c r="AO37">
        <v>5</v>
      </c>
      <c r="AP37">
        <v>4</v>
      </c>
      <c r="AQ37">
        <v>0</v>
      </c>
      <c r="AR37">
        <v>4</v>
      </c>
    </row>
    <row r="38" spans="1:44" x14ac:dyDescent="0.3">
      <c r="A38" t="s">
        <v>56</v>
      </c>
      <c r="B38" t="s">
        <v>57</v>
      </c>
      <c r="C38" t="s">
        <v>69</v>
      </c>
      <c r="D38" t="s">
        <v>59</v>
      </c>
      <c r="E38" t="s">
        <v>60</v>
      </c>
      <c r="F38" t="s">
        <v>49</v>
      </c>
      <c r="G38" t="s">
        <v>1448</v>
      </c>
      <c r="H38">
        <v>1970</v>
      </c>
      <c r="I38" t="s">
        <v>62</v>
      </c>
      <c r="J38" t="s">
        <v>83</v>
      </c>
      <c r="K38" t="s">
        <v>79</v>
      </c>
      <c r="L38" t="s">
        <v>56</v>
      </c>
      <c r="M38" t="s">
        <v>54</v>
      </c>
      <c r="N38">
        <v>2</v>
      </c>
      <c r="O38">
        <v>-2</v>
      </c>
      <c r="P38">
        <v>0</v>
      </c>
      <c r="Q38">
        <v>33</v>
      </c>
      <c r="R38">
        <v>0</v>
      </c>
      <c r="T38">
        <v>0</v>
      </c>
      <c r="U38">
        <v>1</v>
      </c>
      <c r="V38">
        <v>1303</v>
      </c>
      <c r="W38">
        <v>7</v>
      </c>
      <c r="X38" t="s">
        <v>55</v>
      </c>
      <c r="Y38">
        <v>1</v>
      </c>
      <c r="Z38">
        <v>4</v>
      </c>
      <c r="AA38">
        <v>36</v>
      </c>
      <c r="AB38">
        <v>3</v>
      </c>
      <c r="AC38">
        <v>2</v>
      </c>
      <c r="AD38">
        <v>3</v>
      </c>
      <c r="AE38">
        <v>5968</v>
      </c>
      <c r="AF38">
        <v>18079</v>
      </c>
      <c r="AG38">
        <v>1</v>
      </c>
      <c r="AH38">
        <v>20</v>
      </c>
      <c r="AI38">
        <v>4</v>
      </c>
      <c r="AJ38">
        <v>3</v>
      </c>
      <c r="AK38">
        <v>80</v>
      </c>
      <c r="AL38">
        <v>3</v>
      </c>
      <c r="AM38">
        <v>9</v>
      </c>
      <c r="AN38">
        <v>3</v>
      </c>
      <c r="AO38">
        <v>9</v>
      </c>
      <c r="AP38">
        <v>7</v>
      </c>
      <c r="AQ38">
        <v>2</v>
      </c>
      <c r="AR38">
        <v>8</v>
      </c>
    </row>
    <row r="39" spans="1:44" x14ac:dyDescent="0.3">
      <c r="A39" t="s">
        <v>56</v>
      </c>
      <c r="B39" t="s">
        <v>45</v>
      </c>
      <c r="C39" t="s">
        <v>46</v>
      </c>
      <c r="D39" t="s">
        <v>59</v>
      </c>
      <c r="E39" t="s">
        <v>60</v>
      </c>
      <c r="F39" t="s">
        <v>72</v>
      </c>
      <c r="G39" t="s">
        <v>116</v>
      </c>
      <c r="H39">
        <v>46</v>
      </c>
      <c r="I39" t="s">
        <v>51</v>
      </c>
      <c r="J39" t="s">
        <v>63</v>
      </c>
      <c r="K39" t="s">
        <v>79</v>
      </c>
      <c r="L39" t="s">
        <v>56</v>
      </c>
      <c r="M39" t="s">
        <v>54</v>
      </c>
      <c r="N39">
        <v>3</v>
      </c>
      <c r="O39">
        <v>-2</v>
      </c>
      <c r="P39">
        <v>0</v>
      </c>
      <c r="Q39">
        <v>43</v>
      </c>
      <c r="R39">
        <v>0</v>
      </c>
      <c r="T39">
        <v>0</v>
      </c>
      <c r="U39">
        <v>1</v>
      </c>
      <c r="V39">
        <v>1273</v>
      </c>
      <c r="W39">
        <v>2</v>
      </c>
      <c r="X39" t="s">
        <v>55</v>
      </c>
      <c r="Y39">
        <v>1</v>
      </c>
      <c r="Z39">
        <v>4</v>
      </c>
      <c r="AA39">
        <v>72</v>
      </c>
      <c r="AB39">
        <v>4</v>
      </c>
      <c r="AC39">
        <v>1</v>
      </c>
      <c r="AD39">
        <v>3</v>
      </c>
      <c r="AE39">
        <v>2645</v>
      </c>
      <c r="AF39">
        <v>21923</v>
      </c>
      <c r="AG39">
        <v>1</v>
      </c>
      <c r="AH39">
        <v>12</v>
      </c>
      <c r="AI39">
        <v>3</v>
      </c>
      <c r="AJ39">
        <v>4</v>
      </c>
      <c r="AK39">
        <v>80</v>
      </c>
      <c r="AL39">
        <v>2</v>
      </c>
      <c r="AM39">
        <v>6</v>
      </c>
      <c r="AN39">
        <v>2</v>
      </c>
      <c r="AO39">
        <v>5</v>
      </c>
      <c r="AP39">
        <v>3</v>
      </c>
      <c r="AQ39">
        <v>1</v>
      </c>
      <c r="AR39">
        <v>4</v>
      </c>
    </row>
    <row r="40" spans="1:44" x14ac:dyDescent="0.3">
      <c r="A40" t="s">
        <v>44</v>
      </c>
      <c r="B40" t="s">
        <v>45</v>
      </c>
      <c r="C40" t="s">
        <v>58</v>
      </c>
      <c r="D40" t="s">
        <v>47</v>
      </c>
      <c r="E40" t="s">
        <v>48</v>
      </c>
      <c r="F40" t="s">
        <v>106</v>
      </c>
      <c r="G40" t="s">
        <v>117</v>
      </c>
      <c r="H40">
        <v>47</v>
      </c>
      <c r="I40" t="s">
        <v>62</v>
      </c>
      <c r="J40" t="s">
        <v>99</v>
      </c>
      <c r="K40" t="s">
        <v>64</v>
      </c>
      <c r="L40" t="s">
        <v>44</v>
      </c>
      <c r="M40" t="s">
        <v>54</v>
      </c>
      <c r="N40">
        <v>2</v>
      </c>
      <c r="O40">
        <v>-2</v>
      </c>
      <c r="P40">
        <v>0</v>
      </c>
      <c r="Q40">
        <v>50</v>
      </c>
      <c r="R40">
        <v>1</v>
      </c>
      <c r="S40">
        <v>1</v>
      </c>
      <c r="T40">
        <v>1</v>
      </c>
      <c r="U40">
        <v>0</v>
      </c>
      <c r="V40">
        <v>869</v>
      </c>
      <c r="W40">
        <v>3</v>
      </c>
      <c r="X40" t="s">
        <v>55</v>
      </c>
      <c r="Y40">
        <v>1</v>
      </c>
      <c r="Z40">
        <v>1</v>
      </c>
      <c r="AA40">
        <v>86</v>
      </c>
      <c r="AB40">
        <v>2</v>
      </c>
      <c r="AC40">
        <v>1</v>
      </c>
      <c r="AD40">
        <v>3</v>
      </c>
      <c r="AE40">
        <v>2683</v>
      </c>
      <c r="AF40">
        <v>3810</v>
      </c>
      <c r="AG40">
        <v>1</v>
      </c>
      <c r="AH40">
        <v>14</v>
      </c>
      <c r="AI40">
        <v>3</v>
      </c>
      <c r="AJ40">
        <v>3</v>
      </c>
      <c r="AK40">
        <v>80</v>
      </c>
      <c r="AL40">
        <v>0</v>
      </c>
      <c r="AM40">
        <v>3</v>
      </c>
      <c r="AN40">
        <v>3</v>
      </c>
      <c r="AO40">
        <v>3</v>
      </c>
      <c r="AP40">
        <v>2</v>
      </c>
      <c r="AQ40">
        <v>0</v>
      </c>
      <c r="AR40">
        <v>2</v>
      </c>
    </row>
    <row r="41" spans="1:44" x14ac:dyDescent="0.3">
      <c r="A41" t="s">
        <v>56</v>
      </c>
      <c r="B41" t="s">
        <v>45</v>
      </c>
      <c r="C41" t="s">
        <v>58</v>
      </c>
      <c r="D41" t="s">
        <v>59</v>
      </c>
      <c r="E41" t="s">
        <v>60</v>
      </c>
      <c r="F41" t="s">
        <v>72</v>
      </c>
      <c r="G41" t="s">
        <v>1434</v>
      </c>
      <c r="H41">
        <v>1509</v>
      </c>
      <c r="I41" t="s">
        <v>51</v>
      </c>
      <c r="J41" t="s">
        <v>68</v>
      </c>
      <c r="K41" t="s">
        <v>64</v>
      </c>
      <c r="L41" t="s">
        <v>56</v>
      </c>
      <c r="M41" t="s">
        <v>54</v>
      </c>
      <c r="N41">
        <v>3</v>
      </c>
      <c r="O41">
        <v>-2</v>
      </c>
      <c r="P41">
        <v>0</v>
      </c>
      <c r="Q41">
        <v>49</v>
      </c>
      <c r="R41">
        <v>0</v>
      </c>
      <c r="T41">
        <v>0</v>
      </c>
      <c r="U41">
        <v>1</v>
      </c>
      <c r="V41">
        <v>271</v>
      </c>
      <c r="W41">
        <v>3</v>
      </c>
      <c r="X41" t="s">
        <v>55</v>
      </c>
      <c r="Y41">
        <v>1</v>
      </c>
      <c r="Z41">
        <v>3</v>
      </c>
      <c r="AA41">
        <v>43</v>
      </c>
      <c r="AB41">
        <v>2</v>
      </c>
      <c r="AC41">
        <v>2</v>
      </c>
      <c r="AD41">
        <v>1</v>
      </c>
      <c r="AE41">
        <v>4789</v>
      </c>
      <c r="AF41">
        <v>23070</v>
      </c>
      <c r="AG41">
        <v>4</v>
      </c>
      <c r="AH41">
        <v>25</v>
      </c>
      <c r="AI41">
        <v>4</v>
      </c>
      <c r="AJ41">
        <v>1</v>
      </c>
      <c r="AK41">
        <v>80</v>
      </c>
      <c r="AL41">
        <v>1</v>
      </c>
      <c r="AM41">
        <v>10</v>
      </c>
      <c r="AN41">
        <v>3</v>
      </c>
      <c r="AO41">
        <v>3</v>
      </c>
      <c r="AP41">
        <v>2</v>
      </c>
      <c r="AQ41">
        <v>1</v>
      </c>
      <c r="AR41">
        <v>2</v>
      </c>
    </row>
    <row r="42" spans="1:44" x14ac:dyDescent="0.3">
      <c r="A42" t="s">
        <v>56</v>
      </c>
      <c r="B42" t="s">
        <v>45</v>
      </c>
      <c r="C42" t="s">
        <v>75</v>
      </c>
      <c r="D42" t="s">
        <v>59</v>
      </c>
      <c r="E42" t="s">
        <v>60</v>
      </c>
      <c r="F42" t="s">
        <v>49</v>
      </c>
      <c r="G42" t="s">
        <v>1432</v>
      </c>
      <c r="H42">
        <v>1441</v>
      </c>
      <c r="I42" t="s">
        <v>51</v>
      </c>
      <c r="J42" t="s">
        <v>63</v>
      </c>
      <c r="K42" t="s">
        <v>64</v>
      </c>
      <c r="L42" t="s">
        <v>56</v>
      </c>
      <c r="M42" t="s">
        <v>54</v>
      </c>
      <c r="N42">
        <v>3</v>
      </c>
      <c r="O42">
        <v>-2</v>
      </c>
      <c r="P42">
        <v>0</v>
      </c>
      <c r="Q42">
        <v>56</v>
      </c>
      <c r="R42">
        <v>0</v>
      </c>
      <c r="T42">
        <v>0</v>
      </c>
      <c r="U42">
        <v>1</v>
      </c>
      <c r="V42">
        <v>1255</v>
      </c>
      <c r="W42">
        <v>1</v>
      </c>
      <c r="X42" t="s">
        <v>55</v>
      </c>
      <c r="Y42">
        <v>1</v>
      </c>
      <c r="Z42">
        <v>1</v>
      </c>
      <c r="AA42">
        <v>90</v>
      </c>
      <c r="AB42">
        <v>3</v>
      </c>
      <c r="AC42">
        <v>1</v>
      </c>
      <c r="AD42">
        <v>1</v>
      </c>
      <c r="AE42">
        <v>2066</v>
      </c>
      <c r="AF42">
        <v>10494</v>
      </c>
      <c r="AG42">
        <v>2</v>
      </c>
      <c r="AH42">
        <v>22</v>
      </c>
      <c r="AI42">
        <v>4</v>
      </c>
      <c r="AJ42">
        <v>4</v>
      </c>
      <c r="AK42">
        <v>80</v>
      </c>
      <c r="AL42">
        <v>1</v>
      </c>
      <c r="AM42">
        <v>5</v>
      </c>
      <c r="AN42">
        <v>4</v>
      </c>
      <c r="AO42">
        <v>3</v>
      </c>
      <c r="AP42">
        <v>2</v>
      </c>
      <c r="AQ42">
        <v>1</v>
      </c>
      <c r="AR42">
        <v>0</v>
      </c>
    </row>
    <row r="43" spans="1:44" x14ac:dyDescent="0.3">
      <c r="A43" t="s">
        <v>56</v>
      </c>
      <c r="B43" t="s">
        <v>45</v>
      </c>
      <c r="C43" t="s">
        <v>46</v>
      </c>
      <c r="D43" t="s">
        <v>59</v>
      </c>
      <c r="E43" t="s">
        <v>48</v>
      </c>
      <c r="F43" t="s">
        <v>49</v>
      </c>
      <c r="G43" t="s">
        <v>1422</v>
      </c>
      <c r="H43">
        <v>1678</v>
      </c>
      <c r="I43" t="s">
        <v>62</v>
      </c>
      <c r="J43" t="s">
        <v>52</v>
      </c>
      <c r="K43" t="s">
        <v>53</v>
      </c>
      <c r="L43" t="s">
        <v>44</v>
      </c>
      <c r="M43" t="s">
        <v>54</v>
      </c>
      <c r="N43">
        <v>2</v>
      </c>
      <c r="O43">
        <v>-2</v>
      </c>
      <c r="P43">
        <v>0</v>
      </c>
      <c r="Q43">
        <v>41</v>
      </c>
      <c r="R43">
        <v>0</v>
      </c>
      <c r="T43">
        <v>0</v>
      </c>
      <c r="U43">
        <v>1</v>
      </c>
      <c r="V43">
        <v>1206</v>
      </c>
      <c r="W43">
        <v>23</v>
      </c>
      <c r="X43" t="s">
        <v>55</v>
      </c>
      <c r="Y43">
        <v>1</v>
      </c>
      <c r="Z43">
        <v>4</v>
      </c>
      <c r="AA43">
        <v>80</v>
      </c>
      <c r="AB43">
        <v>3</v>
      </c>
      <c r="AC43">
        <v>3</v>
      </c>
      <c r="AD43">
        <v>3</v>
      </c>
      <c r="AE43">
        <v>7082</v>
      </c>
      <c r="AF43">
        <v>11591</v>
      </c>
      <c r="AG43">
        <v>3</v>
      </c>
      <c r="AH43">
        <v>16</v>
      </c>
      <c r="AI43">
        <v>3</v>
      </c>
      <c r="AJ43">
        <v>4</v>
      </c>
      <c r="AK43">
        <v>80</v>
      </c>
      <c r="AL43">
        <v>0</v>
      </c>
      <c r="AM43">
        <v>21</v>
      </c>
      <c r="AN43">
        <v>3</v>
      </c>
      <c r="AO43">
        <v>2</v>
      </c>
      <c r="AP43">
        <v>0</v>
      </c>
      <c r="AQ43">
        <v>0</v>
      </c>
      <c r="AR43">
        <v>2</v>
      </c>
    </row>
    <row r="44" spans="1:44" x14ac:dyDescent="0.3">
      <c r="A44" t="s">
        <v>56</v>
      </c>
      <c r="B44" t="s">
        <v>45</v>
      </c>
      <c r="C44" t="s">
        <v>46</v>
      </c>
      <c r="D44" t="s">
        <v>59</v>
      </c>
      <c r="E44" t="s">
        <v>60</v>
      </c>
      <c r="F44" t="s">
        <v>66</v>
      </c>
      <c r="G44" t="s">
        <v>121</v>
      </c>
      <c r="H44">
        <v>53</v>
      </c>
      <c r="I44" t="s">
        <v>62</v>
      </c>
      <c r="J44" t="s">
        <v>68</v>
      </c>
      <c r="K44" t="s">
        <v>79</v>
      </c>
      <c r="L44" t="s">
        <v>56</v>
      </c>
      <c r="M44" t="s">
        <v>54</v>
      </c>
      <c r="N44">
        <v>3</v>
      </c>
      <c r="O44">
        <v>-2</v>
      </c>
      <c r="P44">
        <v>0</v>
      </c>
      <c r="Q44">
        <v>35</v>
      </c>
      <c r="R44">
        <v>0</v>
      </c>
      <c r="T44">
        <v>0</v>
      </c>
      <c r="U44">
        <v>1</v>
      </c>
      <c r="V44">
        <v>464</v>
      </c>
      <c r="W44">
        <v>4</v>
      </c>
      <c r="X44" t="s">
        <v>55</v>
      </c>
      <c r="Y44">
        <v>1</v>
      </c>
      <c r="Z44">
        <v>3</v>
      </c>
      <c r="AA44">
        <v>75</v>
      </c>
      <c r="AB44">
        <v>3</v>
      </c>
      <c r="AC44">
        <v>1</v>
      </c>
      <c r="AD44">
        <v>4</v>
      </c>
      <c r="AE44">
        <v>1951</v>
      </c>
      <c r="AF44">
        <v>10910</v>
      </c>
      <c r="AG44">
        <v>1</v>
      </c>
      <c r="AH44">
        <v>12</v>
      </c>
      <c r="AI44">
        <v>3</v>
      </c>
      <c r="AJ44">
        <v>3</v>
      </c>
      <c r="AK44">
        <v>80</v>
      </c>
      <c r="AL44">
        <v>1</v>
      </c>
      <c r="AM44">
        <v>1</v>
      </c>
      <c r="AN44">
        <v>3</v>
      </c>
      <c r="AO44">
        <v>1</v>
      </c>
      <c r="AP44">
        <v>0</v>
      </c>
      <c r="AQ44">
        <v>0</v>
      </c>
      <c r="AR44">
        <v>0</v>
      </c>
    </row>
    <row r="45" spans="1:44" x14ac:dyDescent="0.3">
      <c r="A45" t="s">
        <v>56</v>
      </c>
      <c r="B45" t="s">
        <v>45</v>
      </c>
      <c r="C45" t="s">
        <v>69</v>
      </c>
      <c r="D45" t="s">
        <v>59</v>
      </c>
      <c r="E45" t="s">
        <v>60</v>
      </c>
      <c r="F45" t="s">
        <v>66</v>
      </c>
      <c r="G45" t="s">
        <v>1406</v>
      </c>
      <c r="H45">
        <v>2053</v>
      </c>
      <c r="I45" t="s">
        <v>62</v>
      </c>
      <c r="J45" t="s">
        <v>68</v>
      </c>
      <c r="K45" t="s">
        <v>64</v>
      </c>
      <c r="L45" t="s">
        <v>44</v>
      </c>
      <c r="M45" t="s">
        <v>54</v>
      </c>
      <c r="N45">
        <v>2</v>
      </c>
      <c r="O45">
        <v>-2</v>
      </c>
      <c r="P45">
        <v>0</v>
      </c>
      <c r="Q45">
        <v>29</v>
      </c>
      <c r="R45">
        <v>0</v>
      </c>
      <c r="T45">
        <v>0</v>
      </c>
      <c r="U45">
        <v>1</v>
      </c>
      <c r="V45">
        <v>1378</v>
      </c>
      <c r="W45">
        <v>13</v>
      </c>
      <c r="X45" t="s">
        <v>55</v>
      </c>
      <c r="Y45">
        <v>1</v>
      </c>
      <c r="Z45">
        <v>4</v>
      </c>
      <c r="AA45">
        <v>46</v>
      </c>
      <c r="AB45">
        <v>2</v>
      </c>
      <c r="AC45">
        <v>2</v>
      </c>
      <c r="AD45">
        <v>2</v>
      </c>
      <c r="AE45">
        <v>4025</v>
      </c>
      <c r="AF45">
        <v>23679</v>
      </c>
      <c r="AG45">
        <v>4</v>
      </c>
      <c r="AH45">
        <v>13</v>
      </c>
      <c r="AI45">
        <v>3</v>
      </c>
      <c r="AJ45">
        <v>1</v>
      </c>
      <c r="AK45">
        <v>80</v>
      </c>
      <c r="AL45">
        <v>1</v>
      </c>
      <c r="AM45">
        <v>10</v>
      </c>
      <c r="AN45">
        <v>3</v>
      </c>
      <c r="AO45">
        <v>4</v>
      </c>
      <c r="AP45">
        <v>3</v>
      </c>
      <c r="AQ45">
        <v>0</v>
      </c>
      <c r="AR45">
        <v>3</v>
      </c>
    </row>
    <row r="46" spans="1:44" x14ac:dyDescent="0.3">
      <c r="A46" t="s">
        <v>56</v>
      </c>
      <c r="B46" t="s">
        <v>57</v>
      </c>
      <c r="C46" t="s">
        <v>69</v>
      </c>
      <c r="D46" t="s">
        <v>59</v>
      </c>
      <c r="E46" t="s">
        <v>48</v>
      </c>
      <c r="F46" t="s">
        <v>49</v>
      </c>
      <c r="G46" t="s">
        <v>1396</v>
      </c>
      <c r="H46">
        <v>1927</v>
      </c>
      <c r="I46" t="s">
        <v>62</v>
      </c>
      <c r="J46" t="s">
        <v>52</v>
      </c>
      <c r="K46" t="s">
        <v>64</v>
      </c>
      <c r="L46" t="s">
        <v>44</v>
      </c>
      <c r="M46" t="s">
        <v>54</v>
      </c>
      <c r="N46">
        <v>2</v>
      </c>
      <c r="O46">
        <v>-2</v>
      </c>
      <c r="P46">
        <v>0</v>
      </c>
      <c r="Q46">
        <v>28</v>
      </c>
      <c r="R46">
        <v>0</v>
      </c>
      <c r="T46">
        <v>0</v>
      </c>
      <c r="U46">
        <v>1</v>
      </c>
      <c r="V46">
        <v>783</v>
      </c>
      <c r="W46">
        <v>1</v>
      </c>
      <c r="X46" t="s">
        <v>55</v>
      </c>
      <c r="Y46">
        <v>1</v>
      </c>
      <c r="Z46">
        <v>3</v>
      </c>
      <c r="AA46">
        <v>42</v>
      </c>
      <c r="AB46">
        <v>2</v>
      </c>
      <c r="AC46">
        <v>2</v>
      </c>
      <c r="AD46">
        <v>4</v>
      </c>
      <c r="AE46">
        <v>6834</v>
      </c>
      <c r="AF46">
        <v>19255</v>
      </c>
      <c r="AG46">
        <v>1</v>
      </c>
      <c r="AH46">
        <v>12</v>
      </c>
      <c r="AI46">
        <v>3</v>
      </c>
      <c r="AJ46">
        <v>3</v>
      </c>
      <c r="AK46">
        <v>80</v>
      </c>
      <c r="AL46">
        <v>1</v>
      </c>
      <c r="AM46">
        <v>7</v>
      </c>
      <c r="AN46">
        <v>3</v>
      </c>
      <c r="AO46">
        <v>7</v>
      </c>
      <c r="AP46">
        <v>7</v>
      </c>
      <c r="AQ46">
        <v>0</v>
      </c>
      <c r="AR46">
        <v>7</v>
      </c>
    </row>
    <row r="47" spans="1:44" x14ac:dyDescent="0.3">
      <c r="A47" t="s">
        <v>56</v>
      </c>
      <c r="B47" t="s">
        <v>91</v>
      </c>
      <c r="C47" t="s">
        <v>69</v>
      </c>
      <c r="D47" t="s">
        <v>59</v>
      </c>
      <c r="E47" t="s">
        <v>60</v>
      </c>
      <c r="F47" t="s">
        <v>72</v>
      </c>
      <c r="G47" t="s">
        <v>1381</v>
      </c>
      <c r="H47">
        <v>1948</v>
      </c>
      <c r="I47" t="s">
        <v>62</v>
      </c>
      <c r="J47" t="s">
        <v>63</v>
      </c>
      <c r="K47" t="s">
        <v>79</v>
      </c>
      <c r="L47" t="s">
        <v>44</v>
      </c>
      <c r="M47" t="s">
        <v>54</v>
      </c>
      <c r="N47">
        <v>3</v>
      </c>
      <c r="O47">
        <v>-2</v>
      </c>
      <c r="P47">
        <v>0</v>
      </c>
      <c r="Q47">
        <v>31</v>
      </c>
      <c r="R47">
        <v>0</v>
      </c>
      <c r="T47">
        <v>0</v>
      </c>
      <c r="U47">
        <v>1</v>
      </c>
      <c r="V47">
        <v>976</v>
      </c>
      <c r="W47">
        <v>3</v>
      </c>
      <c r="X47" t="s">
        <v>55</v>
      </c>
      <c r="Y47">
        <v>1</v>
      </c>
      <c r="Z47">
        <v>3</v>
      </c>
      <c r="AA47">
        <v>48</v>
      </c>
      <c r="AB47">
        <v>3</v>
      </c>
      <c r="AC47">
        <v>1</v>
      </c>
      <c r="AD47">
        <v>1</v>
      </c>
      <c r="AE47">
        <v>3065</v>
      </c>
      <c r="AF47">
        <v>3995</v>
      </c>
      <c r="AG47">
        <v>1</v>
      </c>
      <c r="AH47">
        <v>13</v>
      </c>
      <c r="AI47">
        <v>3</v>
      </c>
      <c r="AJ47">
        <v>4</v>
      </c>
      <c r="AK47">
        <v>80</v>
      </c>
      <c r="AL47">
        <v>1</v>
      </c>
      <c r="AM47">
        <v>4</v>
      </c>
      <c r="AN47">
        <v>4</v>
      </c>
      <c r="AO47">
        <v>4</v>
      </c>
      <c r="AP47">
        <v>2</v>
      </c>
      <c r="AQ47">
        <v>2</v>
      </c>
      <c r="AR47">
        <v>3</v>
      </c>
    </row>
    <row r="48" spans="1:44" x14ac:dyDescent="0.3">
      <c r="A48" t="s">
        <v>56</v>
      </c>
      <c r="B48" t="s">
        <v>57</v>
      </c>
      <c r="C48" t="s">
        <v>69</v>
      </c>
      <c r="D48" t="s">
        <v>59</v>
      </c>
      <c r="E48" t="s">
        <v>60</v>
      </c>
      <c r="F48" t="s">
        <v>72</v>
      </c>
      <c r="G48" t="s">
        <v>125</v>
      </c>
      <c r="H48">
        <v>57</v>
      </c>
      <c r="I48" t="s">
        <v>51</v>
      </c>
      <c r="J48" t="s">
        <v>68</v>
      </c>
      <c r="K48" t="s">
        <v>53</v>
      </c>
      <c r="L48" t="s">
        <v>56</v>
      </c>
      <c r="M48" t="s">
        <v>54</v>
      </c>
      <c r="N48">
        <v>2</v>
      </c>
      <c r="O48">
        <v>-2</v>
      </c>
      <c r="P48">
        <v>0</v>
      </c>
      <c r="Q48">
        <v>30</v>
      </c>
      <c r="R48">
        <v>0</v>
      </c>
      <c r="T48">
        <v>0</v>
      </c>
      <c r="U48">
        <v>1</v>
      </c>
      <c r="V48">
        <v>721</v>
      </c>
      <c r="W48">
        <v>1</v>
      </c>
      <c r="X48" t="s">
        <v>55</v>
      </c>
      <c r="Y48">
        <v>1</v>
      </c>
      <c r="Z48">
        <v>3</v>
      </c>
      <c r="AA48">
        <v>58</v>
      </c>
      <c r="AB48">
        <v>3</v>
      </c>
      <c r="AC48">
        <v>2</v>
      </c>
      <c r="AD48">
        <v>4</v>
      </c>
      <c r="AE48">
        <v>4011</v>
      </c>
      <c r="AF48">
        <v>10781</v>
      </c>
      <c r="AG48">
        <v>1</v>
      </c>
      <c r="AH48">
        <v>23</v>
      </c>
      <c r="AI48">
        <v>4</v>
      </c>
      <c r="AJ48">
        <v>4</v>
      </c>
      <c r="AK48">
        <v>80</v>
      </c>
      <c r="AL48">
        <v>0</v>
      </c>
      <c r="AM48">
        <v>12</v>
      </c>
      <c r="AN48">
        <v>3</v>
      </c>
      <c r="AO48">
        <v>12</v>
      </c>
      <c r="AP48">
        <v>8</v>
      </c>
      <c r="AQ48">
        <v>3</v>
      </c>
      <c r="AR48">
        <v>7</v>
      </c>
    </row>
    <row r="49" spans="1:44" x14ac:dyDescent="0.3">
      <c r="A49" t="s">
        <v>56</v>
      </c>
      <c r="B49" t="s">
        <v>91</v>
      </c>
      <c r="C49" t="s">
        <v>46</v>
      </c>
      <c r="D49" t="s">
        <v>59</v>
      </c>
      <c r="E49" t="s">
        <v>60</v>
      </c>
      <c r="F49" t="s">
        <v>49</v>
      </c>
      <c r="G49" t="s">
        <v>1380</v>
      </c>
      <c r="H49">
        <v>1552</v>
      </c>
      <c r="I49" t="s">
        <v>62</v>
      </c>
      <c r="J49" t="s">
        <v>83</v>
      </c>
      <c r="K49" t="s">
        <v>79</v>
      </c>
      <c r="L49" t="s">
        <v>44</v>
      </c>
      <c r="M49" t="s">
        <v>54</v>
      </c>
      <c r="N49">
        <v>2</v>
      </c>
      <c r="O49">
        <v>-2</v>
      </c>
      <c r="P49">
        <v>0</v>
      </c>
      <c r="Q49">
        <v>40</v>
      </c>
      <c r="R49">
        <v>0</v>
      </c>
      <c r="T49">
        <v>0</v>
      </c>
      <c r="U49">
        <v>1</v>
      </c>
      <c r="V49">
        <v>1142</v>
      </c>
      <c r="W49">
        <v>8</v>
      </c>
      <c r="X49" t="s">
        <v>55</v>
      </c>
      <c r="Y49">
        <v>1</v>
      </c>
      <c r="Z49">
        <v>4</v>
      </c>
      <c r="AA49">
        <v>72</v>
      </c>
      <c r="AB49">
        <v>3</v>
      </c>
      <c r="AC49">
        <v>2</v>
      </c>
      <c r="AD49">
        <v>4</v>
      </c>
      <c r="AE49">
        <v>4069</v>
      </c>
      <c r="AF49">
        <v>8841</v>
      </c>
      <c r="AG49">
        <v>3</v>
      </c>
      <c r="AH49">
        <v>18</v>
      </c>
      <c r="AI49">
        <v>3</v>
      </c>
      <c r="AJ49">
        <v>3</v>
      </c>
      <c r="AK49">
        <v>80</v>
      </c>
      <c r="AL49">
        <v>0</v>
      </c>
      <c r="AM49">
        <v>8</v>
      </c>
      <c r="AN49">
        <v>3</v>
      </c>
      <c r="AO49">
        <v>2</v>
      </c>
      <c r="AP49">
        <v>2</v>
      </c>
      <c r="AQ49">
        <v>2</v>
      </c>
      <c r="AR49">
        <v>2</v>
      </c>
    </row>
    <row r="50" spans="1:44" x14ac:dyDescent="0.3">
      <c r="A50" t="s">
        <v>56</v>
      </c>
      <c r="B50" t="s">
        <v>45</v>
      </c>
      <c r="C50" t="s">
        <v>69</v>
      </c>
      <c r="D50" t="s">
        <v>59</v>
      </c>
      <c r="E50" t="s">
        <v>48</v>
      </c>
      <c r="F50" t="s">
        <v>72</v>
      </c>
      <c r="G50" t="s">
        <v>1372</v>
      </c>
      <c r="H50">
        <v>1912</v>
      </c>
      <c r="I50" t="s">
        <v>51</v>
      </c>
      <c r="J50" t="s">
        <v>52</v>
      </c>
      <c r="K50" t="s">
        <v>79</v>
      </c>
      <c r="L50" t="s">
        <v>44</v>
      </c>
      <c r="M50" t="s">
        <v>54</v>
      </c>
      <c r="N50">
        <v>2</v>
      </c>
      <c r="O50">
        <v>-2</v>
      </c>
      <c r="P50">
        <v>0</v>
      </c>
      <c r="Q50">
        <v>31</v>
      </c>
      <c r="R50">
        <v>0</v>
      </c>
      <c r="T50">
        <v>0</v>
      </c>
      <c r="U50">
        <v>1</v>
      </c>
      <c r="V50">
        <v>1079</v>
      </c>
      <c r="W50">
        <v>10</v>
      </c>
      <c r="X50" t="s">
        <v>55</v>
      </c>
      <c r="Y50">
        <v>1</v>
      </c>
      <c r="Z50">
        <v>3</v>
      </c>
      <c r="AA50">
        <v>86</v>
      </c>
      <c r="AB50">
        <v>3</v>
      </c>
      <c r="AC50">
        <v>2</v>
      </c>
      <c r="AD50">
        <v>4</v>
      </c>
      <c r="AE50">
        <v>6583</v>
      </c>
      <c r="AF50">
        <v>20115</v>
      </c>
      <c r="AG50">
        <v>2</v>
      </c>
      <c r="AH50">
        <v>11</v>
      </c>
      <c r="AI50">
        <v>3</v>
      </c>
      <c r="AJ50">
        <v>4</v>
      </c>
      <c r="AK50">
        <v>80</v>
      </c>
      <c r="AL50">
        <v>1</v>
      </c>
      <c r="AM50">
        <v>8</v>
      </c>
      <c r="AN50">
        <v>3</v>
      </c>
      <c r="AO50">
        <v>5</v>
      </c>
      <c r="AP50">
        <v>2</v>
      </c>
      <c r="AQ50">
        <v>1</v>
      </c>
      <c r="AR50">
        <v>4</v>
      </c>
    </row>
    <row r="51" spans="1:44" x14ac:dyDescent="0.3">
      <c r="A51" t="s">
        <v>56</v>
      </c>
      <c r="B51" t="s">
        <v>45</v>
      </c>
      <c r="C51" t="s">
        <v>46</v>
      </c>
      <c r="D51" t="s">
        <v>59</v>
      </c>
      <c r="E51" t="s">
        <v>60</v>
      </c>
      <c r="F51" t="s">
        <v>49</v>
      </c>
      <c r="G51" t="s">
        <v>128</v>
      </c>
      <c r="H51">
        <v>61</v>
      </c>
      <c r="I51" t="s">
        <v>62</v>
      </c>
      <c r="J51" t="s">
        <v>63</v>
      </c>
      <c r="K51" t="s">
        <v>64</v>
      </c>
      <c r="L51" t="s">
        <v>56</v>
      </c>
      <c r="M51" t="s">
        <v>54</v>
      </c>
      <c r="N51">
        <v>1</v>
      </c>
      <c r="O51">
        <v>-2</v>
      </c>
      <c r="P51">
        <v>0</v>
      </c>
      <c r="Q51">
        <v>37</v>
      </c>
      <c r="R51">
        <v>0</v>
      </c>
      <c r="T51">
        <v>0</v>
      </c>
      <c r="U51">
        <v>1</v>
      </c>
      <c r="V51">
        <v>408</v>
      </c>
      <c r="W51">
        <v>19</v>
      </c>
      <c r="X51" t="s">
        <v>55</v>
      </c>
      <c r="Y51">
        <v>1</v>
      </c>
      <c r="Z51">
        <v>2</v>
      </c>
      <c r="AA51">
        <v>73</v>
      </c>
      <c r="AB51">
        <v>3</v>
      </c>
      <c r="AC51">
        <v>1</v>
      </c>
      <c r="AD51">
        <v>2</v>
      </c>
      <c r="AE51">
        <v>3022</v>
      </c>
      <c r="AF51">
        <v>10227</v>
      </c>
      <c r="AG51">
        <v>4</v>
      </c>
      <c r="AH51">
        <v>21</v>
      </c>
      <c r="AI51">
        <v>4</v>
      </c>
      <c r="AJ51">
        <v>1</v>
      </c>
      <c r="AK51">
        <v>80</v>
      </c>
      <c r="AL51">
        <v>0</v>
      </c>
      <c r="AM51">
        <v>8</v>
      </c>
      <c r="AN51">
        <v>3</v>
      </c>
      <c r="AO51">
        <v>1</v>
      </c>
      <c r="AP51">
        <v>0</v>
      </c>
      <c r="AQ51">
        <v>0</v>
      </c>
      <c r="AR51">
        <v>0</v>
      </c>
    </row>
    <row r="52" spans="1:44" x14ac:dyDescent="0.3">
      <c r="A52" t="s">
        <v>56</v>
      </c>
      <c r="B52" t="s">
        <v>45</v>
      </c>
      <c r="C52" t="s">
        <v>46</v>
      </c>
      <c r="D52" t="s">
        <v>59</v>
      </c>
      <c r="E52" t="s">
        <v>60</v>
      </c>
      <c r="F52" t="s">
        <v>72</v>
      </c>
      <c r="G52" t="s">
        <v>1365</v>
      </c>
      <c r="H52">
        <v>1638</v>
      </c>
      <c r="I52" t="s">
        <v>51</v>
      </c>
      <c r="J52" t="s">
        <v>81</v>
      </c>
      <c r="K52" t="s">
        <v>64</v>
      </c>
      <c r="L52" t="s">
        <v>44</v>
      </c>
      <c r="M52" t="s">
        <v>54</v>
      </c>
      <c r="N52">
        <v>6</v>
      </c>
      <c r="O52">
        <v>-2</v>
      </c>
      <c r="P52">
        <v>0</v>
      </c>
      <c r="Q52">
        <v>38</v>
      </c>
      <c r="R52">
        <v>0</v>
      </c>
      <c r="T52">
        <v>0</v>
      </c>
      <c r="U52">
        <v>1</v>
      </c>
      <c r="V52">
        <v>397</v>
      </c>
      <c r="W52">
        <v>2</v>
      </c>
      <c r="X52" t="s">
        <v>55</v>
      </c>
      <c r="Y52">
        <v>1</v>
      </c>
      <c r="Z52">
        <v>4</v>
      </c>
      <c r="AA52">
        <v>54</v>
      </c>
      <c r="AB52">
        <v>2</v>
      </c>
      <c r="AC52">
        <v>3</v>
      </c>
      <c r="AD52">
        <v>3</v>
      </c>
      <c r="AE52">
        <v>7756</v>
      </c>
      <c r="AF52">
        <v>14199</v>
      </c>
      <c r="AG52">
        <v>3</v>
      </c>
      <c r="AH52">
        <v>19</v>
      </c>
      <c r="AI52">
        <v>3</v>
      </c>
      <c r="AJ52">
        <v>4</v>
      </c>
      <c r="AK52">
        <v>80</v>
      </c>
      <c r="AL52">
        <v>1</v>
      </c>
      <c r="AM52">
        <v>10</v>
      </c>
      <c r="AN52">
        <v>4</v>
      </c>
      <c r="AO52">
        <v>5</v>
      </c>
      <c r="AP52">
        <v>4</v>
      </c>
      <c r="AQ52">
        <v>0</v>
      </c>
      <c r="AR52">
        <v>2</v>
      </c>
    </row>
    <row r="53" spans="1:44" x14ac:dyDescent="0.3">
      <c r="A53" t="s">
        <v>56</v>
      </c>
      <c r="B53" t="s">
        <v>45</v>
      </c>
      <c r="C53" t="s">
        <v>69</v>
      </c>
      <c r="D53" t="s">
        <v>59</v>
      </c>
      <c r="E53" t="s">
        <v>60</v>
      </c>
      <c r="F53" t="s">
        <v>72</v>
      </c>
      <c r="G53" t="s">
        <v>1362</v>
      </c>
      <c r="H53">
        <v>2009</v>
      </c>
      <c r="I53" t="s">
        <v>51</v>
      </c>
      <c r="J53" t="s">
        <v>83</v>
      </c>
      <c r="K53" t="s">
        <v>64</v>
      </c>
      <c r="L53" t="s">
        <v>44</v>
      </c>
      <c r="M53" t="s">
        <v>54</v>
      </c>
      <c r="N53">
        <v>6</v>
      </c>
      <c r="O53">
        <v>-2</v>
      </c>
      <c r="P53">
        <v>0</v>
      </c>
      <c r="Q53">
        <v>33</v>
      </c>
      <c r="R53">
        <v>0</v>
      </c>
      <c r="T53">
        <v>0</v>
      </c>
      <c r="U53">
        <v>1</v>
      </c>
      <c r="V53">
        <v>501</v>
      </c>
      <c r="W53">
        <v>15</v>
      </c>
      <c r="X53" t="s">
        <v>55</v>
      </c>
      <c r="Y53">
        <v>1</v>
      </c>
      <c r="Z53">
        <v>2</v>
      </c>
      <c r="AA53">
        <v>95</v>
      </c>
      <c r="AB53">
        <v>3</v>
      </c>
      <c r="AC53">
        <v>2</v>
      </c>
      <c r="AD53">
        <v>4</v>
      </c>
      <c r="AE53">
        <v>4878</v>
      </c>
      <c r="AF53">
        <v>21653</v>
      </c>
      <c r="AG53">
        <v>0</v>
      </c>
      <c r="AH53">
        <v>13</v>
      </c>
      <c r="AI53">
        <v>3</v>
      </c>
      <c r="AJ53">
        <v>1</v>
      </c>
      <c r="AK53">
        <v>80</v>
      </c>
      <c r="AL53">
        <v>1</v>
      </c>
      <c r="AM53">
        <v>10</v>
      </c>
      <c r="AN53">
        <v>3</v>
      </c>
      <c r="AO53">
        <v>9</v>
      </c>
      <c r="AP53">
        <v>7</v>
      </c>
      <c r="AQ53">
        <v>8</v>
      </c>
      <c r="AR53">
        <v>1</v>
      </c>
    </row>
    <row r="54" spans="1:44" x14ac:dyDescent="0.3">
      <c r="A54" t="s">
        <v>44</v>
      </c>
      <c r="B54" t="s">
        <v>45</v>
      </c>
      <c r="C54" t="s">
        <v>58</v>
      </c>
      <c r="D54" t="s">
        <v>47</v>
      </c>
      <c r="E54" t="s">
        <v>60</v>
      </c>
      <c r="F54" t="s">
        <v>49</v>
      </c>
      <c r="G54" t="s">
        <v>131</v>
      </c>
      <c r="H54">
        <v>64</v>
      </c>
      <c r="I54" t="s">
        <v>62</v>
      </c>
      <c r="J54" t="s">
        <v>68</v>
      </c>
      <c r="K54" t="s">
        <v>53</v>
      </c>
      <c r="L54" t="s">
        <v>44</v>
      </c>
      <c r="M54" t="s">
        <v>54</v>
      </c>
      <c r="N54">
        <v>2</v>
      </c>
      <c r="O54">
        <v>-2</v>
      </c>
      <c r="P54">
        <v>0</v>
      </c>
      <c r="Q54">
        <v>48</v>
      </c>
      <c r="R54">
        <v>1</v>
      </c>
      <c r="S54">
        <v>1</v>
      </c>
      <c r="T54">
        <v>1</v>
      </c>
      <c r="U54">
        <v>0</v>
      </c>
      <c r="V54">
        <v>626</v>
      </c>
      <c r="W54">
        <v>1</v>
      </c>
      <c r="X54" t="s">
        <v>55</v>
      </c>
      <c r="Y54">
        <v>1</v>
      </c>
      <c r="Z54">
        <v>1</v>
      </c>
      <c r="AA54">
        <v>98</v>
      </c>
      <c r="AB54">
        <v>2</v>
      </c>
      <c r="AC54">
        <v>3</v>
      </c>
      <c r="AD54">
        <v>2</v>
      </c>
      <c r="AE54">
        <v>5381</v>
      </c>
      <c r="AF54">
        <v>19294</v>
      </c>
      <c r="AG54">
        <v>9</v>
      </c>
      <c r="AH54">
        <v>13</v>
      </c>
      <c r="AI54">
        <v>3</v>
      </c>
      <c r="AJ54">
        <v>4</v>
      </c>
      <c r="AK54">
        <v>80</v>
      </c>
      <c r="AL54">
        <v>0</v>
      </c>
      <c r="AM54">
        <v>23</v>
      </c>
      <c r="AN54">
        <v>3</v>
      </c>
      <c r="AO54">
        <v>1</v>
      </c>
      <c r="AP54">
        <v>0</v>
      </c>
      <c r="AQ54">
        <v>0</v>
      </c>
      <c r="AR54">
        <v>0</v>
      </c>
    </row>
    <row r="55" spans="1:44" x14ac:dyDescent="0.3">
      <c r="A55" t="s">
        <v>56</v>
      </c>
      <c r="B55" t="s">
        <v>45</v>
      </c>
      <c r="C55" t="s">
        <v>46</v>
      </c>
      <c r="D55" t="s">
        <v>59</v>
      </c>
      <c r="E55" t="s">
        <v>60</v>
      </c>
      <c r="F55" t="s">
        <v>49</v>
      </c>
      <c r="G55" t="s">
        <v>1361</v>
      </c>
      <c r="H55">
        <v>1724</v>
      </c>
      <c r="I55" t="s">
        <v>51</v>
      </c>
      <c r="J55" t="s">
        <v>81</v>
      </c>
      <c r="K55" t="s">
        <v>64</v>
      </c>
      <c r="L55" t="s">
        <v>44</v>
      </c>
      <c r="M55" t="s">
        <v>54</v>
      </c>
      <c r="N55">
        <v>3</v>
      </c>
      <c r="O55">
        <v>-2</v>
      </c>
      <c r="P55">
        <v>0</v>
      </c>
      <c r="Q55">
        <v>40</v>
      </c>
      <c r="R55">
        <v>0</v>
      </c>
      <c r="T55">
        <v>0</v>
      </c>
      <c r="U55">
        <v>1</v>
      </c>
      <c r="V55">
        <v>369</v>
      </c>
      <c r="W55">
        <v>8</v>
      </c>
      <c r="X55" t="s">
        <v>55</v>
      </c>
      <c r="Y55">
        <v>1</v>
      </c>
      <c r="Z55">
        <v>2</v>
      </c>
      <c r="AA55">
        <v>92</v>
      </c>
      <c r="AB55">
        <v>3</v>
      </c>
      <c r="AC55">
        <v>2</v>
      </c>
      <c r="AD55">
        <v>1</v>
      </c>
      <c r="AE55">
        <v>6516</v>
      </c>
      <c r="AF55">
        <v>5041</v>
      </c>
      <c r="AG55">
        <v>2</v>
      </c>
      <c r="AH55">
        <v>16</v>
      </c>
      <c r="AI55">
        <v>3</v>
      </c>
      <c r="AJ55">
        <v>2</v>
      </c>
      <c r="AK55">
        <v>80</v>
      </c>
      <c r="AL55">
        <v>1</v>
      </c>
      <c r="AM55">
        <v>18</v>
      </c>
      <c r="AN55">
        <v>3</v>
      </c>
      <c r="AO55">
        <v>1</v>
      </c>
      <c r="AP55">
        <v>0</v>
      </c>
      <c r="AQ55">
        <v>0</v>
      </c>
      <c r="AR55">
        <v>0</v>
      </c>
    </row>
    <row r="56" spans="1:44" x14ac:dyDescent="0.3">
      <c r="A56" t="s">
        <v>56</v>
      </c>
      <c r="B56" t="s">
        <v>45</v>
      </c>
      <c r="C56" t="s">
        <v>69</v>
      </c>
      <c r="D56" t="s">
        <v>59</v>
      </c>
      <c r="E56" t="s">
        <v>60</v>
      </c>
      <c r="F56" t="s">
        <v>49</v>
      </c>
      <c r="G56" t="s">
        <v>1360</v>
      </c>
      <c r="H56">
        <v>1893</v>
      </c>
      <c r="I56" t="s">
        <v>51</v>
      </c>
      <c r="J56" t="s">
        <v>63</v>
      </c>
      <c r="K56" t="s">
        <v>64</v>
      </c>
      <c r="L56" t="s">
        <v>44</v>
      </c>
      <c r="M56" t="s">
        <v>54</v>
      </c>
      <c r="N56">
        <v>3</v>
      </c>
      <c r="O56">
        <v>-2</v>
      </c>
      <c r="P56">
        <v>0</v>
      </c>
      <c r="Q56">
        <v>26</v>
      </c>
      <c r="R56">
        <v>0</v>
      </c>
      <c r="T56">
        <v>0</v>
      </c>
      <c r="U56">
        <v>1</v>
      </c>
      <c r="V56">
        <v>482</v>
      </c>
      <c r="W56">
        <v>1</v>
      </c>
      <c r="X56" t="s">
        <v>55</v>
      </c>
      <c r="Y56">
        <v>1</v>
      </c>
      <c r="Z56">
        <v>2</v>
      </c>
      <c r="AA56">
        <v>90</v>
      </c>
      <c r="AB56">
        <v>2</v>
      </c>
      <c r="AC56">
        <v>1</v>
      </c>
      <c r="AD56">
        <v>3</v>
      </c>
      <c r="AE56">
        <v>2933</v>
      </c>
      <c r="AF56">
        <v>14908</v>
      </c>
      <c r="AG56">
        <v>1</v>
      </c>
      <c r="AH56">
        <v>13</v>
      </c>
      <c r="AI56">
        <v>3</v>
      </c>
      <c r="AJ56">
        <v>3</v>
      </c>
      <c r="AK56">
        <v>80</v>
      </c>
      <c r="AL56">
        <v>1</v>
      </c>
      <c r="AM56">
        <v>1</v>
      </c>
      <c r="AN56">
        <v>2</v>
      </c>
      <c r="AO56">
        <v>1</v>
      </c>
      <c r="AP56">
        <v>0</v>
      </c>
      <c r="AQ56">
        <v>1</v>
      </c>
      <c r="AR56">
        <v>0</v>
      </c>
    </row>
    <row r="57" spans="1:44" x14ac:dyDescent="0.3">
      <c r="A57" t="s">
        <v>56</v>
      </c>
      <c r="B57" t="s">
        <v>91</v>
      </c>
      <c r="C57" t="s">
        <v>46</v>
      </c>
      <c r="D57" t="s">
        <v>59</v>
      </c>
      <c r="E57" t="s">
        <v>60</v>
      </c>
      <c r="F57" t="s">
        <v>72</v>
      </c>
      <c r="G57" t="s">
        <v>135</v>
      </c>
      <c r="H57">
        <v>70</v>
      </c>
      <c r="I57" t="s">
        <v>62</v>
      </c>
      <c r="J57" t="s">
        <v>83</v>
      </c>
      <c r="K57" t="s">
        <v>64</v>
      </c>
      <c r="L57" t="s">
        <v>44</v>
      </c>
      <c r="M57" t="s">
        <v>54</v>
      </c>
      <c r="N57">
        <v>3</v>
      </c>
      <c r="O57">
        <v>-2</v>
      </c>
      <c r="P57">
        <v>0</v>
      </c>
      <c r="Q57">
        <v>35</v>
      </c>
      <c r="R57">
        <v>0</v>
      </c>
      <c r="T57">
        <v>0</v>
      </c>
      <c r="U57">
        <v>1</v>
      </c>
      <c r="V57">
        <v>1097</v>
      </c>
      <c r="W57">
        <v>11</v>
      </c>
      <c r="X57" t="s">
        <v>55</v>
      </c>
      <c r="Y57">
        <v>1</v>
      </c>
      <c r="Z57">
        <v>3</v>
      </c>
      <c r="AA57">
        <v>79</v>
      </c>
      <c r="AB57">
        <v>2</v>
      </c>
      <c r="AC57">
        <v>3</v>
      </c>
      <c r="AD57">
        <v>4</v>
      </c>
      <c r="AE57">
        <v>9884</v>
      </c>
      <c r="AF57">
        <v>8302</v>
      </c>
      <c r="AG57">
        <v>2</v>
      </c>
      <c r="AH57">
        <v>13</v>
      </c>
      <c r="AI57">
        <v>3</v>
      </c>
      <c r="AJ57">
        <v>3</v>
      </c>
      <c r="AK57">
        <v>80</v>
      </c>
      <c r="AL57">
        <v>1</v>
      </c>
      <c r="AM57">
        <v>10</v>
      </c>
      <c r="AN57">
        <v>3</v>
      </c>
      <c r="AO57">
        <v>4</v>
      </c>
      <c r="AP57">
        <v>0</v>
      </c>
      <c r="AQ57">
        <v>2</v>
      </c>
      <c r="AR57">
        <v>3</v>
      </c>
    </row>
    <row r="58" spans="1:44" x14ac:dyDescent="0.3">
      <c r="A58" t="s">
        <v>56</v>
      </c>
      <c r="B58" t="s">
        <v>45</v>
      </c>
      <c r="C58" t="s">
        <v>46</v>
      </c>
      <c r="D58" t="s">
        <v>59</v>
      </c>
      <c r="E58" t="s">
        <v>60</v>
      </c>
      <c r="F58" t="s">
        <v>66</v>
      </c>
      <c r="G58" t="s">
        <v>1359</v>
      </c>
      <c r="H58">
        <v>1886</v>
      </c>
      <c r="I58" t="s">
        <v>51</v>
      </c>
      <c r="J58" t="s">
        <v>81</v>
      </c>
      <c r="K58" t="s">
        <v>64</v>
      </c>
      <c r="L58" t="s">
        <v>44</v>
      </c>
      <c r="M58" t="s">
        <v>54</v>
      </c>
      <c r="N58">
        <v>2</v>
      </c>
      <c r="O58">
        <v>-2</v>
      </c>
      <c r="P58">
        <v>0</v>
      </c>
      <c r="Q58">
        <v>35</v>
      </c>
      <c r="R58">
        <v>0</v>
      </c>
      <c r="T58">
        <v>0</v>
      </c>
      <c r="U58">
        <v>1</v>
      </c>
      <c r="V58">
        <v>219</v>
      </c>
      <c r="W58">
        <v>16</v>
      </c>
      <c r="X58" t="s">
        <v>55</v>
      </c>
      <c r="Y58">
        <v>1</v>
      </c>
      <c r="Z58">
        <v>4</v>
      </c>
      <c r="AA58">
        <v>44</v>
      </c>
      <c r="AB58">
        <v>2</v>
      </c>
      <c r="AC58">
        <v>2</v>
      </c>
      <c r="AD58">
        <v>2</v>
      </c>
      <c r="AE58">
        <v>4788</v>
      </c>
      <c r="AF58">
        <v>25388</v>
      </c>
      <c r="AG58">
        <v>0</v>
      </c>
      <c r="AH58">
        <v>11</v>
      </c>
      <c r="AI58">
        <v>3</v>
      </c>
      <c r="AJ58">
        <v>4</v>
      </c>
      <c r="AK58">
        <v>80</v>
      </c>
      <c r="AL58">
        <v>0</v>
      </c>
      <c r="AM58">
        <v>4</v>
      </c>
      <c r="AN58">
        <v>3</v>
      </c>
      <c r="AO58">
        <v>3</v>
      </c>
      <c r="AP58">
        <v>2</v>
      </c>
      <c r="AQ58">
        <v>0</v>
      </c>
      <c r="AR58">
        <v>2</v>
      </c>
    </row>
    <row r="59" spans="1:44" x14ac:dyDescent="0.3">
      <c r="A59" t="s">
        <v>56</v>
      </c>
      <c r="B59" t="s">
        <v>57</v>
      </c>
      <c r="C59" t="s">
        <v>69</v>
      </c>
      <c r="D59" t="s">
        <v>59</v>
      </c>
      <c r="E59" t="s">
        <v>60</v>
      </c>
      <c r="F59" t="s">
        <v>49</v>
      </c>
      <c r="G59" t="s">
        <v>137</v>
      </c>
      <c r="H59">
        <v>73</v>
      </c>
      <c r="I59" t="s">
        <v>51</v>
      </c>
      <c r="J59" t="s">
        <v>101</v>
      </c>
      <c r="K59" t="s">
        <v>53</v>
      </c>
      <c r="L59" t="s">
        <v>44</v>
      </c>
      <c r="M59" t="s">
        <v>54</v>
      </c>
      <c r="N59">
        <v>1</v>
      </c>
      <c r="O59">
        <v>-2</v>
      </c>
      <c r="P59">
        <v>0</v>
      </c>
      <c r="Q59">
        <v>33</v>
      </c>
      <c r="R59">
        <v>0</v>
      </c>
      <c r="T59">
        <v>0</v>
      </c>
      <c r="U59">
        <v>1</v>
      </c>
      <c r="V59">
        <v>515</v>
      </c>
      <c r="W59">
        <v>1</v>
      </c>
      <c r="X59" t="s">
        <v>55</v>
      </c>
      <c r="Y59">
        <v>1</v>
      </c>
      <c r="Z59">
        <v>1</v>
      </c>
      <c r="AA59">
        <v>98</v>
      </c>
      <c r="AB59">
        <v>3</v>
      </c>
      <c r="AC59">
        <v>3</v>
      </c>
      <c r="AD59">
        <v>2</v>
      </c>
      <c r="AE59">
        <v>13458</v>
      </c>
      <c r="AF59">
        <v>15146</v>
      </c>
      <c r="AG59">
        <v>1</v>
      </c>
      <c r="AH59">
        <v>12</v>
      </c>
      <c r="AI59">
        <v>3</v>
      </c>
      <c r="AJ59">
        <v>3</v>
      </c>
      <c r="AK59">
        <v>80</v>
      </c>
      <c r="AL59">
        <v>0</v>
      </c>
      <c r="AM59">
        <v>15</v>
      </c>
      <c r="AN59">
        <v>3</v>
      </c>
      <c r="AO59">
        <v>15</v>
      </c>
      <c r="AP59">
        <v>14</v>
      </c>
      <c r="AQ59">
        <v>8</v>
      </c>
      <c r="AR59">
        <v>12</v>
      </c>
    </row>
    <row r="60" spans="1:44" x14ac:dyDescent="0.3">
      <c r="A60" t="s">
        <v>56</v>
      </c>
      <c r="B60" t="s">
        <v>57</v>
      </c>
      <c r="C60" t="s">
        <v>69</v>
      </c>
      <c r="D60" t="s">
        <v>59</v>
      </c>
      <c r="E60" t="s">
        <v>60</v>
      </c>
      <c r="F60" t="s">
        <v>49</v>
      </c>
      <c r="G60" t="s">
        <v>1352</v>
      </c>
      <c r="H60">
        <v>1850</v>
      </c>
      <c r="I60" t="s">
        <v>51</v>
      </c>
      <c r="J60" t="s">
        <v>68</v>
      </c>
      <c r="K60" t="s">
        <v>53</v>
      </c>
      <c r="L60" t="s">
        <v>44</v>
      </c>
      <c r="M60" t="s">
        <v>54</v>
      </c>
      <c r="N60">
        <v>3</v>
      </c>
      <c r="O60">
        <v>-2</v>
      </c>
      <c r="P60">
        <v>0</v>
      </c>
      <c r="Q60">
        <v>27</v>
      </c>
      <c r="R60">
        <v>0</v>
      </c>
      <c r="T60">
        <v>0</v>
      </c>
      <c r="U60">
        <v>1</v>
      </c>
      <c r="V60">
        <v>1297</v>
      </c>
      <c r="W60">
        <v>5</v>
      </c>
      <c r="X60" t="s">
        <v>55</v>
      </c>
      <c r="Y60">
        <v>1</v>
      </c>
      <c r="Z60">
        <v>4</v>
      </c>
      <c r="AA60">
        <v>53</v>
      </c>
      <c r="AB60">
        <v>3</v>
      </c>
      <c r="AC60">
        <v>1</v>
      </c>
      <c r="AD60">
        <v>4</v>
      </c>
      <c r="AE60">
        <v>2379</v>
      </c>
      <c r="AF60">
        <v>19826</v>
      </c>
      <c r="AG60">
        <v>0</v>
      </c>
      <c r="AH60">
        <v>14</v>
      </c>
      <c r="AI60">
        <v>3</v>
      </c>
      <c r="AJ60">
        <v>3</v>
      </c>
      <c r="AK60">
        <v>80</v>
      </c>
      <c r="AL60">
        <v>0</v>
      </c>
      <c r="AM60">
        <v>6</v>
      </c>
      <c r="AN60">
        <v>2</v>
      </c>
      <c r="AO60">
        <v>5</v>
      </c>
      <c r="AP60">
        <v>4</v>
      </c>
      <c r="AQ60">
        <v>0</v>
      </c>
      <c r="AR60">
        <v>2</v>
      </c>
    </row>
    <row r="61" spans="1:44" x14ac:dyDescent="0.3">
      <c r="A61" t="s">
        <v>56</v>
      </c>
      <c r="B61" t="s">
        <v>91</v>
      </c>
      <c r="C61" t="s">
        <v>92</v>
      </c>
      <c r="D61" t="s">
        <v>59</v>
      </c>
      <c r="E61" t="s">
        <v>60</v>
      </c>
      <c r="F61" t="s">
        <v>66</v>
      </c>
      <c r="G61" t="s">
        <v>1349</v>
      </c>
      <c r="H61">
        <v>1605</v>
      </c>
      <c r="I61" t="s">
        <v>51</v>
      </c>
      <c r="J61" t="s">
        <v>63</v>
      </c>
      <c r="K61" t="s">
        <v>64</v>
      </c>
      <c r="L61" t="s">
        <v>44</v>
      </c>
      <c r="M61" t="s">
        <v>54</v>
      </c>
      <c r="N61">
        <v>2</v>
      </c>
      <c r="O61">
        <v>-2</v>
      </c>
      <c r="P61">
        <v>0</v>
      </c>
      <c r="Q61">
        <v>22</v>
      </c>
      <c r="R61">
        <v>0</v>
      </c>
      <c r="T61">
        <v>0</v>
      </c>
      <c r="U61">
        <v>1</v>
      </c>
      <c r="V61">
        <v>457</v>
      </c>
      <c r="W61">
        <v>26</v>
      </c>
      <c r="X61" t="s">
        <v>55</v>
      </c>
      <c r="Y61">
        <v>1</v>
      </c>
      <c r="Z61">
        <v>2</v>
      </c>
      <c r="AA61">
        <v>85</v>
      </c>
      <c r="AB61">
        <v>2</v>
      </c>
      <c r="AC61">
        <v>1</v>
      </c>
      <c r="AD61">
        <v>3</v>
      </c>
      <c r="AE61">
        <v>2814</v>
      </c>
      <c r="AF61">
        <v>10293</v>
      </c>
      <c r="AG61">
        <v>1</v>
      </c>
      <c r="AH61">
        <v>14</v>
      </c>
      <c r="AI61">
        <v>3</v>
      </c>
      <c r="AJ61">
        <v>2</v>
      </c>
      <c r="AK61">
        <v>80</v>
      </c>
      <c r="AL61">
        <v>0</v>
      </c>
      <c r="AM61">
        <v>4</v>
      </c>
      <c r="AN61">
        <v>2</v>
      </c>
      <c r="AO61">
        <v>4</v>
      </c>
      <c r="AP61">
        <v>2</v>
      </c>
      <c r="AQ61">
        <v>1</v>
      </c>
      <c r="AR61">
        <v>3</v>
      </c>
    </row>
    <row r="62" spans="1:44" x14ac:dyDescent="0.3">
      <c r="A62" t="s">
        <v>56</v>
      </c>
      <c r="B62" t="s">
        <v>45</v>
      </c>
      <c r="C62" t="s">
        <v>46</v>
      </c>
      <c r="D62" t="s">
        <v>59</v>
      </c>
      <c r="E62" t="s">
        <v>48</v>
      </c>
      <c r="F62" t="s">
        <v>106</v>
      </c>
      <c r="G62" t="s">
        <v>1334</v>
      </c>
      <c r="H62">
        <v>1908</v>
      </c>
      <c r="I62" t="s">
        <v>62</v>
      </c>
      <c r="J62" t="s">
        <v>52</v>
      </c>
      <c r="K62" t="s">
        <v>64</v>
      </c>
      <c r="L62" t="s">
        <v>56</v>
      </c>
      <c r="M62" t="s">
        <v>54</v>
      </c>
      <c r="N62">
        <v>1</v>
      </c>
      <c r="O62">
        <v>-2</v>
      </c>
      <c r="P62">
        <v>0</v>
      </c>
      <c r="Q62">
        <v>36</v>
      </c>
      <c r="R62">
        <v>0</v>
      </c>
      <c r="T62">
        <v>0</v>
      </c>
      <c r="U62">
        <v>1</v>
      </c>
      <c r="V62">
        <v>335</v>
      </c>
      <c r="W62">
        <v>17</v>
      </c>
      <c r="X62" t="s">
        <v>55</v>
      </c>
      <c r="Y62">
        <v>1</v>
      </c>
      <c r="Z62">
        <v>3</v>
      </c>
      <c r="AA62">
        <v>33</v>
      </c>
      <c r="AB62">
        <v>2</v>
      </c>
      <c r="AC62">
        <v>2</v>
      </c>
      <c r="AD62">
        <v>2</v>
      </c>
      <c r="AE62">
        <v>5507</v>
      </c>
      <c r="AF62">
        <v>16822</v>
      </c>
      <c r="AG62">
        <v>2</v>
      </c>
      <c r="AH62">
        <v>16</v>
      </c>
      <c r="AI62">
        <v>3</v>
      </c>
      <c r="AJ62">
        <v>3</v>
      </c>
      <c r="AK62">
        <v>80</v>
      </c>
      <c r="AL62">
        <v>2</v>
      </c>
      <c r="AM62">
        <v>12</v>
      </c>
      <c r="AN62">
        <v>1</v>
      </c>
      <c r="AO62">
        <v>4</v>
      </c>
      <c r="AP62">
        <v>2</v>
      </c>
      <c r="AQ62">
        <v>1</v>
      </c>
      <c r="AR62">
        <v>3</v>
      </c>
    </row>
    <row r="63" spans="1:44" x14ac:dyDescent="0.3">
      <c r="A63" t="s">
        <v>56</v>
      </c>
      <c r="B63" t="s">
        <v>45</v>
      </c>
      <c r="C63" t="s">
        <v>46</v>
      </c>
      <c r="D63" t="s">
        <v>59</v>
      </c>
      <c r="E63" t="s">
        <v>48</v>
      </c>
      <c r="F63" t="s">
        <v>106</v>
      </c>
      <c r="G63" t="s">
        <v>1333</v>
      </c>
      <c r="H63">
        <v>1787</v>
      </c>
      <c r="I63" t="s">
        <v>62</v>
      </c>
      <c r="J63" t="s">
        <v>52</v>
      </c>
      <c r="K63" t="s">
        <v>64</v>
      </c>
      <c r="L63" t="s">
        <v>56</v>
      </c>
      <c r="M63" t="s">
        <v>54</v>
      </c>
      <c r="N63">
        <v>2</v>
      </c>
      <c r="O63">
        <v>-2</v>
      </c>
      <c r="P63">
        <v>0</v>
      </c>
      <c r="Q63">
        <v>37</v>
      </c>
      <c r="R63">
        <v>0</v>
      </c>
      <c r="T63">
        <v>0</v>
      </c>
      <c r="U63">
        <v>1</v>
      </c>
      <c r="V63">
        <v>589</v>
      </c>
      <c r="W63">
        <v>9</v>
      </c>
      <c r="X63" t="s">
        <v>55</v>
      </c>
      <c r="Y63">
        <v>1</v>
      </c>
      <c r="Z63">
        <v>2</v>
      </c>
      <c r="AA63">
        <v>46</v>
      </c>
      <c r="AB63">
        <v>2</v>
      </c>
      <c r="AC63">
        <v>2</v>
      </c>
      <c r="AD63">
        <v>2</v>
      </c>
      <c r="AE63">
        <v>4189</v>
      </c>
      <c r="AF63">
        <v>8800</v>
      </c>
      <c r="AG63">
        <v>1</v>
      </c>
      <c r="AH63">
        <v>14</v>
      </c>
      <c r="AI63">
        <v>3</v>
      </c>
      <c r="AJ63">
        <v>1</v>
      </c>
      <c r="AK63">
        <v>80</v>
      </c>
      <c r="AL63">
        <v>2</v>
      </c>
      <c r="AM63">
        <v>5</v>
      </c>
      <c r="AN63">
        <v>3</v>
      </c>
      <c r="AO63">
        <v>5</v>
      </c>
      <c r="AP63">
        <v>2</v>
      </c>
      <c r="AQ63">
        <v>0</v>
      </c>
      <c r="AR63">
        <v>3</v>
      </c>
    </row>
    <row r="64" spans="1:44" x14ac:dyDescent="0.3">
      <c r="A64" t="s">
        <v>56</v>
      </c>
      <c r="B64" t="s">
        <v>45</v>
      </c>
      <c r="C64" t="s">
        <v>69</v>
      </c>
      <c r="D64" t="s">
        <v>59</v>
      </c>
      <c r="E64" t="s">
        <v>48</v>
      </c>
      <c r="F64" t="s">
        <v>49</v>
      </c>
      <c r="G64" t="s">
        <v>1323</v>
      </c>
      <c r="H64">
        <v>1996</v>
      </c>
      <c r="I64" t="s">
        <v>62</v>
      </c>
      <c r="J64" t="s">
        <v>99</v>
      </c>
      <c r="K64" t="s">
        <v>64</v>
      </c>
      <c r="L64" t="s">
        <v>56</v>
      </c>
      <c r="M64" t="s">
        <v>54</v>
      </c>
      <c r="N64">
        <v>1</v>
      </c>
      <c r="O64">
        <v>-2</v>
      </c>
      <c r="P64">
        <v>0</v>
      </c>
      <c r="Q64">
        <v>31</v>
      </c>
      <c r="R64">
        <v>0</v>
      </c>
      <c r="T64">
        <v>0</v>
      </c>
      <c r="U64">
        <v>1</v>
      </c>
      <c r="V64">
        <v>1154</v>
      </c>
      <c r="W64">
        <v>2</v>
      </c>
      <c r="X64" t="s">
        <v>55</v>
      </c>
      <c r="Y64">
        <v>1</v>
      </c>
      <c r="Z64">
        <v>1</v>
      </c>
      <c r="AA64">
        <v>54</v>
      </c>
      <c r="AB64">
        <v>3</v>
      </c>
      <c r="AC64">
        <v>1</v>
      </c>
      <c r="AD64">
        <v>3</v>
      </c>
      <c r="AE64">
        <v>3067</v>
      </c>
      <c r="AF64">
        <v>6393</v>
      </c>
      <c r="AG64">
        <v>0</v>
      </c>
      <c r="AH64">
        <v>19</v>
      </c>
      <c r="AI64">
        <v>3</v>
      </c>
      <c r="AJ64">
        <v>3</v>
      </c>
      <c r="AK64">
        <v>80</v>
      </c>
      <c r="AL64">
        <v>1</v>
      </c>
      <c r="AM64">
        <v>3</v>
      </c>
      <c r="AN64">
        <v>3</v>
      </c>
      <c r="AO64">
        <v>2</v>
      </c>
      <c r="AP64">
        <v>2</v>
      </c>
      <c r="AQ64">
        <v>1</v>
      </c>
      <c r="AR64">
        <v>2</v>
      </c>
    </row>
    <row r="65" spans="1:44" x14ac:dyDescent="0.3">
      <c r="A65" t="s">
        <v>56</v>
      </c>
      <c r="B65" t="s">
        <v>45</v>
      </c>
      <c r="C65" t="s">
        <v>46</v>
      </c>
      <c r="D65" t="s">
        <v>59</v>
      </c>
      <c r="E65" t="s">
        <v>48</v>
      </c>
      <c r="F65" t="s">
        <v>72</v>
      </c>
      <c r="G65" t="s">
        <v>1321</v>
      </c>
      <c r="H65">
        <v>1548</v>
      </c>
      <c r="I65" t="s">
        <v>62</v>
      </c>
      <c r="J65" t="s">
        <v>52</v>
      </c>
      <c r="K65" t="s">
        <v>64</v>
      </c>
      <c r="L65" t="s">
        <v>56</v>
      </c>
      <c r="M65" t="s">
        <v>54</v>
      </c>
      <c r="N65">
        <v>5</v>
      </c>
      <c r="O65">
        <v>-2</v>
      </c>
      <c r="P65">
        <v>0</v>
      </c>
      <c r="Q65">
        <v>40</v>
      </c>
      <c r="R65">
        <v>0</v>
      </c>
      <c r="T65">
        <v>0</v>
      </c>
      <c r="U65">
        <v>1</v>
      </c>
      <c r="V65">
        <v>1342</v>
      </c>
      <c r="W65">
        <v>9</v>
      </c>
      <c r="X65" t="s">
        <v>55</v>
      </c>
      <c r="Y65">
        <v>1</v>
      </c>
      <c r="Z65">
        <v>1</v>
      </c>
      <c r="AA65">
        <v>47</v>
      </c>
      <c r="AB65">
        <v>3</v>
      </c>
      <c r="AC65">
        <v>2</v>
      </c>
      <c r="AD65">
        <v>1</v>
      </c>
      <c r="AE65">
        <v>5473</v>
      </c>
      <c r="AF65">
        <v>19345</v>
      </c>
      <c r="AG65">
        <v>0</v>
      </c>
      <c r="AH65">
        <v>12</v>
      </c>
      <c r="AI65">
        <v>3</v>
      </c>
      <c r="AJ65">
        <v>4</v>
      </c>
      <c r="AK65">
        <v>80</v>
      </c>
      <c r="AL65">
        <v>0</v>
      </c>
      <c r="AM65">
        <v>9</v>
      </c>
      <c r="AN65">
        <v>4</v>
      </c>
      <c r="AO65">
        <v>8</v>
      </c>
      <c r="AP65">
        <v>4</v>
      </c>
      <c r="AQ65">
        <v>7</v>
      </c>
      <c r="AR65">
        <v>1</v>
      </c>
    </row>
    <row r="66" spans="1:44" x14ac:dyDescent="0.3">
      <c r="A66" t="s">
        <v>56</v>
      </c>
      <c r="B66" t="s">
        <v>45</v>
      </c>
      <c r="C66" t="s">
        <v>58</v>
      </c>
      <c r="D66" t="s">
        <v>59</v>
      </c>
      <c r="E66" t="s">
        <v>60</v>
      </c>
      <c r="F66" t="s">
        <v>72</v>
      </c>
      <c r="G66" t="s">
        <v>144</v>
      </c>
      <c r="H66">
        <v>80</v>
      </c>
      <c r="I66" t="s">
        <v>51</v>
      </c>
      <c r="J66" t="s">
        <v>101</v>
      </c>
      <c r="K66" t="s">
        <v>79</v>
      </c>
      <c r="L66" t="s">
        <v>44</v>
      </c>
      <c r="M66" t="s">
        <v>54</v>
      </c>
      <c r="N66">
        <v>2</v>
      </c>
      <c r="O66">
        <v>-2</v>
      </c>
      <c r="P66">
        <v>0</v>
      </c>
      <c r="Q66">
        <v>50</v>
      </c>
      <c r="R66">
        <v>0</v>
      </c>
      <c r="T66">
        <v>0</v>
      </c>
      <c r="U66">
        <v>1</v>
      </c>
      <c r="V66">
        <v>989</v>
      </c>
      <c r="W66">
        <v>7</v>
      </c>
      <c r="X66" t="s">
        <v>55</v>
      </c>
      <c r="Y66">
        <v>1</v>
      </c>
      <c r="Z66">
        <v>2</v>
      </c>
      <c r="AA66">
        <v>43</v>
      </c>
      <c r="AB66">
        <v>2</v>
      </c>
      <c r="AC66">
        <v>5</v>
      </c>
      <c r="AD66">
        <v>3</v>
      </c>
      <c r="AE66">
        <v>18740</v>
      </c>
      <c r="AF66">
        <v>16701</v>
      </c>
      <c r="AG66">
        <v>5</v>
      </c>
      <c r="AH66">
        <v>12</v>
      </c>
      <c r="AI66">
        <v>3</v>
      </c>
      <c r="AJ66">
        <v>4</v>
      </c>
      <c r="AK66">
        <v>80</v>
      </c>
      <c r="AL66">
        <v>1</v>
      </c>
      <c r="AM66">
        <v>29</v>
      </c>
      <c r="AN66">
        <v>2</v>
      </c>
      <c r="AO66">
        <v>27</v>
      </c>
      <c r="AP66">
        <v>3</v>
      </c>
      <c r="AQ66">
        <v>13</v>
      </c>
      <c r="AR66">
        <v>8</v>
      </c>
    </row>
    <row r="67" spans="1:44" x14ac:dyDescent="0.3">
      <c r="A67" t="s">
        <v>56</v>
      </c>
      <c r="B67" t="s">
        <v>45</v>
      </c>
      <c r="C67" t="s">
        <v>69</v>
      </c>
      <c r="D67" t="s">
        <v>59</v>
      </c>
      <c r="E67" t="s">
        <v>48</v>
      </c>
      <c r="F67" t="s">
        <v>106</v>
      </c>
      <c r="G67" t="s">
        <v>1315</v>
      </c>
      <c r="H67">
        <v>1754</v>
      </c>
      <c r="I67" t="s">
        <v>62</v>
      </c>
      <c r="J67" t="s">
        <v>52</v>
      </c>
      <c r="K67" t="s">
        <v>79</v>
      </c>
      <c r="L67" t="s">
        <v>56</v>
      </c>
      <c r="M67" t="s">
        <v>54</v>
      </c>
      <c r="N67">
        <v>2</v>
      </c>
      <c r="O67">
        <v>-2</v>
      </c>
      <c r="P67">
        <v>0</v>
      </c>
      <c r="Q67">
        <v>30</v>
      </c>
      <c r="R67">
        <v>0</v>
      </c>
      <c r="T67">
        <v>0</v>
      </c>
      <c r="U67">
        <v>1</v>
      </c>
      <c r="V67">
        <v>979</v>
      </c>
      <c r="W67">
        <v>15</v>
      </c>
      <c r="X67" t="s">
        <v>55</v>
      </c>
      <c r="Y67">
        <v>1</v>
      </c>
      <c r="Z67">
        <v>3</v>
      </c>
      <c r="AA67">
        <v>94</v>
      </c>
      <c r="AB67">
        <v>2</v>
      </c>
      <c r="AC67">
        <v>3</v>
      </c>
      <c r="AD67">
        <v>2</v>
      </c>
      <c r="AE67">
        <v>7140</v>
      </c>
      <c r="AF67">
        <v>3088</v>
      </c>
      <c r="AG67">
        <v>2</v>
      </c>
      <c r="AH67">
        <v>11</v>
      </c>
      <c r="AI67">
        <v>3</v>
      </c>
      <c r="AJ67">
        <v>1</v>
      </c>
      <c r="AK67">
        <v>80</v>
      </c>
      <c r="AL67">
        <v>1</v>
      </c>
      <c r="AM67">
        <v>12</v>
      </c>
      <c r="AN67">
        <v>3</v>
      </c>
      <c r="AO67">
        <v>7</v>
      </c>
      <c r="AP67">
        <v>7</v>
      </c>
      <c r="AQ67">
        <v>1</v>
      </c>
      <c r="AR67">
        <v>7</v>
      </c>
    </row>
    <row r="68" spans="1:44" x14ac:dyDescent="0.3">
      <c r="A68" t="s">
        <v>56</v>
      </c>
      <c r="B68" t="s">
        <v>45</v>
      </c>
      <c r="C68" t="s">
        <v>69</v>
      </c>
      <c r="D68" t="s">
        <v>59</v>
      </c>
      <c r="E68" t="s">
        <v>48</v>
      </c>
      <c r="F68" t="s">
        <v>49</v>
      </c>
      <c r="G68" t="s">
        <v>1314</v>
      </c>
      <c r="H68">
        <v>1453</v>
      </c>
      <c r="I68" t="s">
        <v>62</v>
      </c>
      <c r="J68" t="s">
        <v>52</v>
      </c>
      <c r="K68" t="s">
        <v>79</v>
      </c>
      <c r="L68" t="s">
        <v>56</v>
      </c>
      <c r="M68" t="s">
        <v>54</v>
      </c>
      <c r="N68">
        <v>5</v>
      </c>
      <c r="O68">
        <v>-2</v>
      </c>
      <c r="P68">
        <v>0</v>
      </c>
      <c r="Q68">
        <v>31</v>
      </c>
      <c r="R68">
        <v>0</v>
      </c>
      <c r="T68">
        <v>0</v>
      </c>
      <c r="U68">
        <v>1</v>
      </c>
      <c r="V68">
        <v>326</v>
      </c>
      <c r="W68">
        <v>8</v>
      </c>
      <c r="X68" t="s">
        <v>55</v>
      </c>
      <c r="Y68">
        <v>1</v>
      </c>
      <c r="Z68">
        <v>1</v>
      </c>
      <c r="AA68">
        <v>31</v>
      </c>
      <c r="AB68">
        <v>3</v>
      </c>
      <c r="AC68">
        <v>3</v>
      </c>
      <c r="AD68">
        <v>4</v>
      </c>
      <c r="AE68">
        <v>10793</v>
      </c>
      <c r="AF68">
        <v>8386</v>
      </c>
      <c r="AG68">
        <v>1</v>
      </c>
      <c r="AH68">
        <v>18</v>
      </c>
      <c r="AI68">
        <v>3</v>
      </c>
      <c r="AJ68">
        <v>1</v>
      </c>
      <c r="AK68">
        <v>80</v>
      </c>
      <c r="AL68">
        <v>1</v>
      </c>
      <c r="AM68">
        <v>13</v>
      </c>
      <c r="AN68">
        <v>3</v>
      </c>
      <c r="AO68">
        <v>13</v>
      </c>
      <c r="AP68">
        <v>7</v>
      </c>
      <c r="AQ68">
        <v>9</v>
      </c>
      <c r="AR68">
        <v>9</v>
      </c>
    </row>
    <row r="69" spans="1:44" x14ac:dyDescent="0.3">
      <c r="A69" t="s">
        <v>56</v>
      </c>
      <c r="B69" t="s">
        <v>45</v>
      </c>
      <c r="C69" t="s">
        <v>92</v>
      </c>
      <c r="D69" t="s">
        <v>59</v>
      </c>
      <c r="E69" t="s">
        <v>60</v>
      </c>
      <c r="F69" t="s">
        <v>66</v>
      </c>
      <c r="G69" t="s">
        <v>1312</v>
      </c>
      <c r="H69">
        <v>1982</v>
      </c>
      <c r="I69" t="s">
        <v>62</v>
      </c>
      <c r="J69" t="s">
        <v>68</v>
      </c>
      <c r="K69" t="s">
        <v>53</v>
      </c>
      <c r="L69" t="s">
        <v>56</v>
      </c>
      <c r="M69" t="s">
        <v>54</v>
      </c>
      <c r="N69">
        <v>6</v>
      </c>
      <c r="O69">
        <v>-2</v>
      </c>
      <c r="P69">
        <v>0</v>
      </c>
      <c r="Q69">
        <v>23</v>
      </c>
      <c r="R69">
        <v>0</v>
      </c>
      <c r="T69">
        <v>0</v>
      </c>
      <c r="U69">
        <v>1</v>
      </c>
      <c r="V69">
        <v>571</v>
      </c>
      <c r="W69">
        <v>12</v>
      </c>
      <c r="X69" t="s">
        <v>55</v>
      </c>
      <c r="Y69">
        <v>1</v>
      </c>
      <c r="Z69">
        <v>4</v>
      </c>
      <c r="AA69">
        <v>78</v>
      </c>
      <c r="AB69">
        <v>3</v>
      </c>
      <c r="AC69">
        <v>1</v>
      </c>
      <c r="AD69">
        <v>4</v>
      </c>
      <c r="AE69">
        <v>2647</v>
      </c>
      <c r="AF69">
        <v>13672</v>
      </c>
      <c r="AG69">
        <v>1</v>
      </c>
      <c r="AH69">
        <v>13</v>
      </c>
      <c r="AI69">
        <v>3</v>
      </c>
      <c r="AJ69">
        <v>3</v>
      </c>
      <c r="AK69">
        <v>80</v>
      </c>
      <c r="AL69">
        <v>0</v>
      </c>
      <c r="AM69">
        <v>5</v>
      </c>
      <c r="AN69">
        <v>4</v>
      </c>
      <c r="AO69">
        <v>5</v>
      </c>
      <c r="AP69">
        <v>2</v>
      </c>
      <c r="AQ69">
        <v>1</v>
      </c>
      <c r="AR69">
        <v>4</v>
      </c>
    </row>
    <row r="70" spans="1:44" x14ac:dyDescent="0.3">
      <c r="A70" t="s">
        <v>56</v>
      </c>
      <c r="B70" t="s">
        <v>45</v>
      </c>
      <c r="C70" t="s">
        <v>92</v>
      </c>
      <c r="D70" t="s">
        <v>59</v>
      </c>
      <c r="E70" t="s">
        <v>60</v>
      </c>
      <c r="F70" t="s">
        <v>49</v>
      </c>
      <c r="G70" t="s">
        <v>1311</v>
      </c>
      <c r="H70">
        <v>2007</v>
      </c>
      <c r="I70" t="s">
        <v>62</v>
      </c>
      <c r="J70" t="s">
        <v>63</v>
      </c>
      <c r="K70" t="s">
        <v>53</v>
      </c>
      <c r="L70" t="s">
        <v>56</v>
      </c>
      <c r="M70" t="s">
        <v>54</v>
      </c>
      <c r="N70">
        <v>2</v>
      </c>
      <c r="O70">
        <v>-2</v>
      </c>
      <c r="P70">
        <v>0</v>
      </c>
      <c r="Q70">
        <v>22</v>
      </c>
      <c r="R70">
        <v>0</v>
      </c>
      <c r="T70">
        <v>0</v>
      </c>
      <c r="U70">
        <v>1</v>
      </c>
      <c r="V70">
        <v>581</v>
      </c>
      <c r="W70">
        <v>1</v>
      </c>
      <c r="X70" t="s">
        <v>55</v>
      </c>
      <c r="Y70">
        <v>1</v>
      </c>
      <c r="Z70">
        <v>4</v>
      </c>
      <c r="AA70">
        <v>63</v>
      </c>
      <c r="AB70">
        <v>3</v>
      </c>
      <c r="AC70">
        <v>1</v>
      </c>
      <c r="AD70">
        <v>3</v>
      </c>
      <c r="AE70">
        <v>3375</v>
      </c>
      <c r="AF70">
        <v>17624</v>
      </c>
      <c r="AG70">
        <v>0</v>
      </c>
      <c r="AH70">
        <v>12</v>
      </c>
      <c r="AI70">
        <v>3</v>
      </c>
      <c r="AJ70">
        <v>4</v>
      </c>
      <c r="AK70">
        <v>80</v>
      </c>
      <c r="AL70">
        <v>0</v>
      </c>
      <c r="AM70">
        <v>4</v>
      </c>
      <c r="AN70">
        <v>4</v>
      </c>
      <c r="AO70">
        <v>3</v>
      </c>
      <c r="AP70">
        <v>2</v>
      </c>
      <c r="AQ70">
        <v>1</v>
      </c>
      <c r="AR70">
        <v>2</v>
      </c>
    </row>
    <row r="71" spans="1:44" x14ac:dyDescent="0.3">
      <c r="A71" t="s">
        <v>56</v>
      </c>
      <c r="B71" t="s">
        <v>45</v>
      </c>
      <c r="C71" t="s">
        <v>92</v>
      </c>
      <c r="D71" t="s">
        <v>59</v>
      </c>
      <c r="E71" t="s">
        <v>60</v>
      </c>
      <c r="F71" t="s">
        <v>49</v>
      </c>
      <c r="G71" t="s">
        <v>1296</v>
      </c>
      <c r="H71">
        <v>1981</v>
      </c>
      <c r="I71" t="s">
        <v>62</v>
      </c>
      <c r="J71" t="s">
        <v>83</v>
      </c>
      <c r="K71" t="s">
        <v>53</v>
      </c>
      <c r="L71" t="s">
        <v>56</v>
      </c>
      <c r="M71" t="s">
        <v>54</v>
      </c>
      <c r="N71">
        <v>2</v>
      </c>
      <c r="O71">
        <v>-2</v>
      </c>
      <c r="P71">
        <v>0</v>
      </c>
      <c r="Q71">
        <v>24</v>
      </c>
      <c r="R71">
        <v>0</v>
      </c>
      <c r="T71">
        <v>0</v>
      </c>
      <c r="U71">
        <v>1</v>
      </c>
      <c r="V71">
        <v>771</v>
      </c>
      <c r="W71">
        <v>1</v>
      </c>
      <c r="X71" t="s">
        <v>55</v>
      </c>
      <c r="Y71">
        <v>1</v>
      </c>
      <c r="Z71">
        <v>2</v>
      </c>
      <c r="AA71">
        <v>45</v>
      </c>
      <c r="AB71">
        <v>2</v>
      </c>
      <c r="AC71">
        <v>2</v>
      </c>
      <c r="AD71">
        <v>3</v>
      </c>
      <c r="AE71">
        <v>4617</v>
      </c>
      <c r="AF71">
        <v>14120</v>
      </c>
      <c r="AG71">
        <v>1</v>
      </c>
      <c r="AH71">
        <v>12</v>
      </c>
      <c r="AI71">
        <v>3</v>
      </c>
      <c r="AJ71">
        <v>2</v>
      </c>
      <c r="AK71">
        <v>80</v>
      </c>
      <c r="AL71">
        <v>0</v>
      </c>
      <c r="AM71">
        <v>4</v>
      </c>
      <c r="AN71">
        <v>2</v>
      </c>
      <c r="AO71">
        <v>4</v>
      </c>
      <c r="AP71">
        <v>3</v>
      </c>
      <c r="AQ71">
        <v>1</v>
      </c>
      <c r="AR71">
        <v>2</v>
      </c>
    </row>
    <row r="72" spans="1:44" x14ac:dyDescent="0.3">
      <c r="A72" t="s">
        <v>56</v>
      </c>
      <c r="B72" t="s">
        <v>45</v>
      </c>
      <c r="C72" t="s">
        <v>46</v>
      </c>
      <c r="D72" t="s">
        <v>59</v>
      </c>
      <c r="E72" t="s">
        <v>60</v>
      </c>
      <c r="F72" t="s">
        <v>49</v>
      </c>
      <c r="G72" t="s">
        <v>1270</v>
      </c>
      <c r="H72">
        <v>1601</v>
      </c>
      <c r="I72" t="s">
        <v>62</v>
      </c>
      <c r="J72" t="s">
        <v>68</v>
      </c>
      <c r="K72" t="s">
        <v>64</v>
      </c>
      <c r="L72" t="s">
        <v>56</v>
      </c>
      <c r="M72" t="s">
        <v>54</v>
      </c>
      <c r="N72">
        <v>5</v>
      </c>
      <c r="O72">
        <v>-2</v>
      </c>
      <c r="P72">
        <v>0</v>
      </c>
      <c r="Q72">
        <v>35</v>
      </c>
      <c r="R72">
        <v>0</v>
      </c>
      <c r="T72">
        <v>0</v>
      </c>
      <c r="U72">
        <v>1</v>
      </c>
      <c r="V72">
        <v>1349</v>
      </c>
      <c r="W72">
        <v>7</v>
      </c>
      <c r="X72" t="s">
        <v>55</v>
      </c>
      <c r="Y72">
        <v>1</v>
      </c>
      <c r="Z72">
        <v>3</v>
      </c>
      <c r="AA72">
        <v>63</v>
      </c>
      <c r="AB72">
        <v>2</v>
      </c>
      <c r="AC72">
        <v>1</v>
      </c>
      <c r="AD72">
        <v>4</v>
      </c>
      <c r="AE72">
        <v>2690</v>
      </c>
      <c r="AF72">
        <v>7713</v>
      </c>
      <c r="AG72">
        <v>1</v>
      </c>
      <c r="AH72">
        <v>18</v>
      </c>
      <c r="AI72">
        <v>3</v>
      </c>
      <c r="AJ72">
        <v>4</v>
      </c>
      <c r="AK72">
        <v>80</v>
      </c>
      <c r="AL72">
        <v>1</v>
      </c>
      <c r="AM72">
        <v>1</v>
      </c>
      <c r="AN72">
        <v>2</v>
      </c>
      <c r="AO72">
        <v>1</v>
      </c>
      <c r="AP72">
        <v>0</v>
      </c>
      <c r="AQ72">
        <v>0</v>
      </c>
      <c r="AR72">
        <v>1</v>
      </c>
    </row>
    <row r="73" spans="1:44" x14ac:dyDescent="0.3">
      <c r="A73" t="s">
        <v>56</v>
      </c>
      <c r="B73" t="s">
        <v>45</v>
      </c>
      <c r="C73" t="s">
        <v>69</v>
      </c>
      <c r="D73" t="s">
        <v>59</v>
      </c>
      <c r="E73" t="s">
        <v>60</v>
      </c>
      <c r="F73" t="s">
        <v>72</v>
      </c>
      <c r="G73" t="s">
        <v>1263</v>
      </c>
      <c r="H73">
        <v>1696</v>
      </c>
      <c r="I73" t="s">
        <v>62</v>
      </c>
      <c r="J73" t="s">
        <v>68</v>
      </c>
      <c r="K73" t="s">
        <v>64</v>
      </c>
      <c r="L73" t="s">
        <v>56</v>
      </c>
      <c r="M73" t="s">
        <v>54</v>
      </c>
      <c r="N73">
        <v>3</v>
      </c>
      <c r="O73">
        <v>-2</v>
      </c>
      <c r="P73">
        <v>0</v>
      </c>
      <c r="Q73">
        <v>34</v>
      </c>
      <c r="R73">
        <v>0</v>
      </c>
      <c r="T73">
        <v>0</v>
      </c>
      <c r="U73">
        <v>1</v>
      </c>
      <c r="V73">
        <v>1157</v>
      </c>
      <c r="W73">
        <v>5</v>
      </c>
      <c r="X73" t="s">
        <v>55</v>
      </c>
      <c r="Y73">
        <v>1</v>
      </c>
      <c r="Z73">
        <v>2</v>
      </c>
      <c r="AA73">
        <v>57</v>
      </c>
      <c r="AB73">
        <v>2</v>
      </c>
      <c r="AC73">
        <v>2</v>
      </c>
      <c r="AD73">
        <v>4</v>
      </c>
      <c r="AE73">
        <v>3986</v>
      </c>
      <c r="AF73">
        <v>11912</v>
      </c>
      <c r="AG73">
        <v>1</v>
      </c>
      <c r="AH73">
        <v>14</v>
      </c>
      <c r="AI73">
        <v>3</v>
      </c>
      <c r="AJ73">
        <v>3</v>
      </c>
      <c r="AK73">
        <v>80</v>
      </c>
      <c r="AL73">
        <v>1</v>
      </c>
      <c r="AM73">
        <v>15</v>
      </c>
      <c r="AN73">
        <v>4</v>
      </c>
      <c r="AO73">
        <v>15</v>
      </c>
      <c r="AP73">
        <v>10</v>
      </c>
      <c r="AQ73">
        <v>4</v>
      </c>
      <c r="AR73">
        <v>13</v>
      </c>
    </row>
    <row r="74" spans="1:44" x14ac:dyDescent="0.3">
      <c r="A74" t="s">
        <v>56</v>
      </c>
      <c r="B74" t="s">
        <v>45</v>
      </c>
      <c r="C74" t="s">
        <v>69</v>
      </c>
      <c r="D74" t="s">
        <v>59</v>
      </c>
      <c r="E74" t="s">
        <v>60</v>
      </c>
      <c r="F74" t="s">
        <v>72</v>
      </c>
      <c r="G74" t="s">
        <v>1255</v>
      </c>
      <c r="H74">
        <v>1989</v>
      </c>
      <c r="I74" t="s">
        <v>62</v>
      </c>
      <c r="J74" t="s">
        <v>68</v>
      </c>
      <c r="K74" t="s">
        <v>64</v>
      </c>
      <c r="L74" t="s">
        <v>56</v>
      </c>
      <c r="M74" t="s">
        <v>54</v>
      </c>
      <c r="N74">
        <v>6</v>
      </c>
      <c r="O74">
        <v>-2</v>
      </c>
      <c r="P74">
        <v>0</v>
      </c>
      <c r="Q74">
        <v>30</v>
      </c>
      <c r="R74">
        <v>0</v>
      </c>
      <c r="T74">
        <v>0</v>
      </c>
      <c r="U74">
        <v>1</v>
      </c>
      <c r="V74">
        <v>911</v>
      </c>
      <c r="W74">
        <v>1</v>
      </c>
      <c r="X74" t="s">
        <v>55</v>
      </c>
      <c r="Y74">
        <v>1</v>
      </c>
      <c r="Z74">
        <v>4</v>
      </c>
      <c r="AA74">
        <v>76</v>
      </c>
      <c r="AB74">
        <v>3</v>
      </c>
      <c r="AC74">
        <v>1</v>
      </c>
      <c r="AD74">
        <v>2</v>
      </c>
      <c r="AE74">
        <v>3748</v>
      </c>
      <c r="AF74">
        <v>4077</v>
      </c>
      <c r="AG74">
        <v>1</v>
      </c>
      <c r="AH74">
        <v>13</v>
      </c>
      <c r="AI74">
        <v>3</v>
      </c>
      <c r="AJ74">
        <v>3</v>
      </c>
      <c r="AK74">
        <v>80</v>
      </c>
      <c r="AL74">
        <v>0</v>
      </c>
      <c r="AM74">
        <v>12</v>
      </c>
      <c r="AN74">
        <v>2</v>
      </c>
      <c r="AO74">
        <v>12</v>
      </c>
      <c r="AP74">
        <v>8</v>
      </c>
      <c r="AQ74">
        <v>1</v>
      </c>
      <c r="AR74">
        <v>7</v>
      </c>
    </row>
    <row r="75" spans="1:44" x14ac:dyDescent="0.3">
      <c r="A75" t="s">
        <v>56</v>
      </c>
      <c r="B75" t="s">
        <v>45</v>
      </c>
      <c r="C75" t="s">
        <v>92</v>
      </c>
      <c r="D75" t="s">
        <v>59</v>
      </c>
      <c r="E75" t="s">
        <v>60</v>
      </c>
      <c r="F75" t="s">
        <v>113</v>
      </c>
      <c r="G75" t="s">
        <v>1246</v>
      </c>
      <c r="H75">
        <v>1551</v>
      </c>
      <c r="I75" t="s">
        <v>62</v>
      </c>
      <c r="J75" t="s">
        <v>68</v>
      </c>
      <c r="K75" t="s">
        <v>79</v>
      </c>
      <c r="L75" t="s">
        <v>56</v>
      </c>
      <c r="M75" t="s">
        <v>54</v>
      </c>
      <c r="N75">
        <v>3</v>
      </c>
      <c r="O75">
        <v>-2</v>
      </c>
      <c r="P75">
        <v>0</v>
      </c>
      <c r="Q75">
        <v>24</v>
      </c>
      <c r="R75">
        <v>0</v>
      </c>
      <c r="T75">
        <v>0</v>
      </c>
      <c r="U75">
        <v>1</v>
      </c>
      <c r="V75">
        <v>350</v>
      </c>
      <c r="W75">
        <v>21</v>
      </c>
      <c r="X75" t="s">
        <v>55</v>
      </c>
      <c r="Y75">
        <v>1</v>
      </c>
      <c r="Z75">
        <v>4</v>
      </c>
      <c r="AA75">
        <v>57</v>
      </c>
      <c r="AB75">
        <v>2</v>
      </c>
      <c r="AC75">
        <v>1</v>
      </c>
      <c r="AD75">
        <v>4</v>
      </c>
      <c r="AE75">
        <v>2296</v>
      </c>
      <c r="AF75">
        <v>10036</v>
      </c>
      <c r="AG75">
        <v>0</v>
      </c>
      <c r="AH75">
        <v>14</v>
      </c>
      <c r="AI75">
        <v>3</v>
      </c>
      <c r="AJ75">
        <v>2</v>
      </c>
      <c r="AK75">
        <v>80</v>
      </c>
      <c r="AL75">
        <v>3</v>
      </c>
      <c r="AM75">
        <v>2</v>
      </c>
      <c r="AN75">
        <v>3</v>
      </c>
      <c r="AO75">
        <v>1</v>
      </c>
      <c r="AP75">
        <v>1</v>
      </c>
      <c r="AQ75">
        <v>0</v>
      </c>
      <c r="AR75">
        <v>0</v>
      </c>
    </row>
    <row r="76" spans="1:44" x14ac:dyDescent="0.3">
      <c r="A76" t="s">
        <v>56</v>
      </c>
      <c r="B76" t="s">
        <v>45</v>
      </c>
      <c r="C76" t="s">
        <v>46</v>
      </c>
      <c r="D76" t="s">
        <v>59</v>
      </c>
      <c r="E76" t="s">
        <v>60</v>
      </c>
      <c r="F76" t="s">
        <v>49</v>
      </c>
      <c r="G76" t="s">
        <v>1238</v>
      </c>
      <c r="H76">
        <v>1940</v>
      </c>
      <c r="I76" t="s">
        <v>62</v>
      </c>
      <c r="J76" t="s">
        <v>63</v>
      </c>
      <c r="K76" t="s">
        <v>79</v>
      </c>
      <c r="L76" t="s">
        <v>56</v>
      </c>
      <c r="M76" t="s">
        <v>54</v>
      </c>
      <c r="N76">
        <v>0</v>
      </c>
      <c r="O76">
        <v>-2</v>
      </c>
      <c r="P76">
        <v>0</v>
      </c>
      <c r="Q76">
        <v>38</v>
      </c>
      <c r="R76">
        <v>0</v>
      </c>
      <c r="T76">
        <v>0</v>
      </c>
      <c r="U76">
        <v>1</v>
      </c>
      <c r="V76">
        <v>1206</v>
      </c>
      <c r="W76">
        <v>9</v>
      </c>
      <c r="X76" t="s">
        <v>55</v>
      </c>
      <c r="Y76">
        <v>1</v>
      </c>
      <c r="Z76">
        <v>2</v>
      </c>
      <c r="AA76">
        <v>71</v>
      </c>
      <c r="AB76">
        <v>3</v>
      </c>
      <c r="AC76">
        <v>1</v>
      </c>
      <c r="AD76">
        <v>4</v>
      </c>
      <c r="AE76">
        <v>4771</v>
      </c>
      <c r="AF76">
        <v>14293</v>
      </c>
      <c r="AG76">
        <v>2</v>
      </c>
      <c r="AH76">
        <v>19</v>
      </c>
      <c r="AI76">
        <v>3</v>
      </c>
      <c r="AJ76">
        <v>4</v>
      </c>
      <c r="AK76">
        <v>80</v>
      </c>
      <c r="AL76">
        <v>2</v>
      </c>
      <c r="AM76">
        <v>10</v>
      </c>
      <c r="AN76">
        <v>4</v>
      </c>
      <c r="AO76">
        <v>5</v>
      </c>
      <c r="AP76">
        <v>2</v>
      </c>
      <c r="AQ76">
        <v>0</v>
      </c>
      <c r="AR76">
        <v>3</v>
      </c>
    </row>
    <row r="77" spans="1:44" x14ac:dyDescent="0.3">
      <c r="A77" t="s">
        <v>56</v>
      </c>
      <c r="B77" t="s">
        <v>45</v>
      </c>
      <c r="C77" t="s">
        <v>58</v>
      </c>
      <c r="D77" t="s">
        <v>59</v>
      </c>
      <c r="E77" t="s">
        <v>60</v>
      </c>
      <c r="F77" t="s">
        <v>49</v>
      </c>
      <c r="G77" t="s">
        <v>1236</v>
      </c>
      <c r="H77">
        <v>1857</v>
      </c>
      <c r="I77" t="s">
        <v>62</v>
      </c>
      <c r="J77" t="s">
        <v>81</v>
      </c>
      <c r="K77" t="s">
        <v>79</v>
      </c>
      <c r="L77" t="s">
        <v>56</v>
      </c>
      <c r="M77" t="s">
        <v>54</v>
      </c>
      <c r="N77">
        <v>4</v>
      </c>
      <c r="O77">
        <v>-2</v>
      </c>
      <c r="P77">
        <v>0</v>
      </c>
      <c r="Q77">
        <v>46</v>
      </c>
      <c r="R77">
        <v>0</v>
      </c>
      <c r="T77">
        <v>0</v>
      </c>
      <c r="U77">
        <v>1</v>
      </c>
      <c r="V77">
        <v>706</v>
      </c>
      <c r="W77">
        <v>2</v>
      </c>
      <c r="X77" t="s">
        <v>55</v>
      </c>
      <c r="Y77">
        <v>1</v>
      </c>
      <c r="Z77">
        <v>4</v>
      </c>
      <c r="AA77">
        <v>82</v>
      </c>
      <c r="AB77">
        <v>3</v>
      </c>
      <c r="AC77">
        <v>3</v>
      </c>
      <c r="AD77">
        <v>4</v>
      </c>
      <c r="AE77">
        <v>8578</v>
      </c>
      <c r="AF77">
        <v>19989</v>
      </c>
      <c r="AG77">
        <v>3</v>
      </c>
      <c r="AH77">
        <v>14</v>
      </c>
      <c r="AI77">
        <v>3</v>
      </c>
      <c r="AJ77">
        <v>3</v>
      </c>
      <c r="AK77">
        <v>80</v>
      </c>
      <c r="AL77">
        <v>1</v>
      </c>
      <c r="AM77">
        <v>12</v>
      </c>
      <c r="AN77">
        <v>2</v>
      </c>
      <c r="AO77">
        <v>9</v>
      </c>
      <c r="AP77">
        <v>8</v>
      </c>
      <c r="AQ77">
        <v>4</v>
      </c>
      <c r="AR77">
        <v>7</v>
      </c>
    </row>
    <row r="78" spans="1:44" x14ac:dyDescent="0.3">
      <c r="A78" t="s">
        <v>56</v>
      </c>
      <c r="B78" t="s">
        <v>45</v>
      </c>
      <c r="C78" t="s">
        <v>46</v>
      </c>
      <c r="D78" t="s">
        <v>59</v>
      </c>
      <c r="E78" t="s">
        <v>60</v>
      </c>
      <c r="F78" t="s">
        <v>72</v>
      </c>
      <c r="G78" t="s">
        <v>1234</v>
      </c>
      <c r="H78">
        <v>1627</v>
      </c>
      <c r="I78" t="s">
        <v>62</v>
      </c>
      <c r="J78" t="s">
        <v>68</v>
      </c>
      <c r="K78" t="s">
        <v>79</v>
      </c>
      <c r="L78" t="s">
        <v>56</v>
      </c>
      <c r="M78" t="s">
        <v>54</v>
      </c>
      <c r="N78">
        <v>3</v>
      </c>
      <c r="O78">
        <v>-2</v>
      </c>
      <c r="P78">
        <v>0</v>
      </c>
      <c r="Q78">
        <v>39</v>
      </c>
      <c r="R78">
        <v>0</v>
      </c>
      <c r="T78">
        <v>0</v>
      </c>
      <c r="U78">
        <v>1</v>
      </c>
      <c r="V78">
        <v>170</v>
      </c>
      <c r="W78">
        <v>3</v>
      </c>
      <c r="X78" t="s">
        <v>55</v>
      </c>
      <c r="Y78">
        <v>1</v>
      </c>
      <c r="Z78">
        <v>3</v>
      </c>
      <c r="AA78">
        <v>76</v>
      </c>
      <c r="AB78">
        <v>2</v>
      </c>
      <c r="AC78">
        <v>2</v>
      </c>
      <c r="AD78">
        <v>3</v>
      </c>
      <c r="AE78">
        <v>3069</v>
      </c>
      <c r="AF78">
        <v>10302</v>
      </c>
      <c r="AG78">
        <v>0</v>
      </c>
      <c r="AH78">
        <v>15</v>
      </c>
      <c r="AI78">
        <v>3</v>
      </c>
      <c r="AJ78">
        <v>4</v>
      </c>
      <c r="AK78">
        <v>80</v>
      </c>
      <c r="AL78">
        <v>1</v>
      </c>
      <c r="AM78">
        <v>11</v>
      </c>
      <c r="AN78">
        <v>3</v>
      </c>
      <c r="AO78">
        <v>10</v>
      </c>
      <c r="AP78">
        <v>8</v>
      </c>
      <c r="AQ78">
        <v>0</v>
      </c>
      <c r="AR78">
        <v>7</v>
      </c>
    </row>
    <row r="79" spans="1:44" x14ac:dyDescent="0.3">
      <c r="A79" t="s">
        <v>56</v>
      </c>
      <c r="B79" t="s">
        <v>45</v>
      </c>
      <c r="C79" t="s">
        <v>46</v>
      </c>
      <c r="D79" t="s">
        <v>59</v>
      </c>
      <c r="E79" t="s">
        <v>161</v>
      </c>
      <c r="F79" t="s">
        <v>66</v>
      </c>
      <c r="G79" t="s">
        <v>1226</v>
      </c>
      <c r="H79">
        <v>1794</v>
      </c>
      <c r="I79" t="s">
        <v>62</v>
      </c>
      <c r="J79" t="s">
        <v>163</v>
      </c>
      <c r="K79" t="s">
        <v>79</v>
      </c>
      <c r="L79" t="s">
        <v>56</v>
      </c>
      <c r="M79" t="s">
        <v>54</v>
      </c>
      <c r="N79">
        <v>4</v>
      </c>
      <c r="O79">
        <v>-2</v>
      </c>
      <c r="P79">
        <v>0</v>
      </c>
      <c r="Q79">
        <v>37</v>
      </c>
      <c r="R79">
        <v>0</v>
      </c>
      <c r="T79">
        <v>0</v>
      </c>
      <c r="U79">
        <v>1</v>
      </c>
      <c r="V79">
        <v>1239</v>
      </c>
      <c r="W79">
        <v>8</v>
      </c>
      <c r="X79" t="s">
        <v>55</v>
      </c>
      <c r="Y79">
        <v>1</v>
      </c>
      <c r="Z79">
        <v>3</v>
      </c>
      <c r="AA79">
        <v>89</v>
      </c>
      <c r="AB79">
        <v>3</v>
      </c>
      <c r="AC79">
        <v>2</v>
      </c>
      <c r="AD79">
        <v>2</v>
      </c>
      <c r="AE79">
        <v>4071</v>
      </c>
      <c r="AF79">
        <v>12832</v>
      </c>
      <c r="AG79">
        <v>2</v>
      </c>
      <c r="AH79">
        <v>13</v>
      </c>
      <c r="AI79">
        <v>3</v>
      </c>
      <c r="AJ79">
        <v>3</v>
      </c>
      <c r="AK79">
        <v>80</v>
      </c>
      <c r="AL79">
        <v>0</v>
      </c>
      <c r="AM79">
        <v>19</v>
      </c>
      <c r="AN79">
        <v>2</v>
      </c>
      <c r="AO79">
        <v>10</v>
      </c>
      <c r="AP79">
        <v>0</v>
      </c>
      <c r="AQ79">
        <v>4</v>
      </c>
      <c r="AR79">
        <v>7</v>
      </c>
    </row>
    <row r="80" spans="1:44" x14ac:dyDescent="0.3">
      <c r="A80" t="s">
        <v>56</v>
      </c>
      <c r="B80" t="s">
        <v>57</v>
      </c>
      <c r="C80" t="s">
        <v>46</v>
      </c>
      <c r="D80" t="s">
        <v>59</v>
      </c>
      <c r="E80" t="s">
        <v>60</v>
      </c>
      <c r="F80" t="s">
        <v>49</v>
      </c>
      <c r="G80" t="s">
        <v>1217</v>
      </c>
      <c r="H80">
        <v>1412</v>
      </c>
      <c r="I80" t="s">
        <v>62</v>
      </c>
      <c r="J80" t="s">
        <v>81</v>
      </c>
      <c r="K80" t="s">
        <v>53</v>
      </c>
      <c r="L80" t="s">
        <v>56</v>
      </c>
      <c r="M80" t="s">
        <v>54</v>
      </c>
      <c r="N80">
        <v>2</v>
      </c>
      <c r="O80">
        <v>-2</v>
      </c>
      <c r="P80">
        <v>0</v>
      </c>
      <c r="Q80">
        <v>35</v>
      </c>
      <c r="R80">
        <v>0</v>
      </c>
      <c r="T80">
        <v>0</v>
      </c>
      <c r="U80">
        <v>1</v>
      </c>
      <c r="V80">
        <v>200</v>
      </c>
      <c r="W80">
        <v>18</v>
      </c>
      <c r="X80" t="s">
        <v>55</v>
      </c>
      <c r="Y80">
        <v>1</v>
      </c>
      <c r="Z80">
        <v>3</v>
      </c>
      <c r="AA80">
        <v>60</v>
      </c>
      <c r="AB80">
        <v>3</v>
      </c>
      <c r="AC80">
        <v>3</v>
      </c>
      <c r="AD80">
        <v>4</v>
      </c>
      <c r="AE80">
        <v>9362</v>
      </c>
      <c r="AF80">
        <v>19944</v>
      </c>
      <c r="AG80">
        <v>2</v>
      </c>
      <c r="AH80">
        <v>11</v>
      </c>
      <c r="AI80">
        <v>3</v>
      </c>
      <c r="AJ80">
        <v>3</v>
      </c>
      <c r="AK80">
        <v>80</v>
      </c>
      <c r="AL80">
        <v>0</v>
      </c>
      <c r="AM80">
        <v>10</v>
      </c>
      <c r="AN80">
        <v>3</v>
      </c>
      <c r="AO80">
        <v>2</v>
      </c>
      <c r="AP80">
        <v>2</v>
      </c>
      <c r="AQ80">
        <v>2</v>
      </c>
      <c r="AR80">
        <v>2</v>
      </c>
    </row>
    <row r="81" spans="1:44" x14ac:dyDescent="0.3">
      <c r="A81" t="s">
        <v>56</v>
      </c>
      <c r="B81" t="s">
        <v>57</v>
      </c>
      <c r="C81" t="s">
        <v>46</v>
      </c>
      <c r="D81" t="s">
        <v>59</v>
      </c>
      <c r="E81" t="s">
        <v>60</v>
      </c>
      <c r="F81" t="s">
        <v>72</v>
      </c>
      <c r="G81" t="s">
        <v>1213</v>
      </c>
      <c r="H81">
        <v>2061</v>
      </c>
      <c r="I81" t="s">
        <v>62</v>
      </c>
      <c r="J81" t="s">
        <v>68</v>
      </c>
      <c r="K81" t="s">
        <v>64</v>
      </c>
      <c r="L81" t="s">
        <v>56</v>
      </c>
      <c r="M81" t="s">
        <v>54</v>
      </c>
      <c r="N81">
        <v>3</v>
      </c>
      <c r="O81">
        <v>-2</v>
      </c>
      <c r="P81">
        <v>0</v>
      </c>
      <c r="Q81">
        <v>36</v>
      </c>
      <c r="R81">
        <v>0</v>
      </c>
      <c r="T81">
        <v>0</v>
      </c>
      <c r="U81">
        <v>1</v>
      </c>
      <c r="V81">
        <v>884</v>
      </c>
      <c r="W81">
        <v>23</v>
      </c>
      <c r="X81" t="s">
        <v>55</v>
      </c>
      <c r="Y81">
        <v>1</v>
      </c>
      <c r="Z81">
        <v>3</v>
      </c>
      <c r="AA81">
        <v>41</v>
      </c>
      <c r="AB81">
        <v>4</v>
      </c>
      <c r="AC81">
        <v>2</v>
      </c>
      <c r="AD81">
        <v>4</v>
      </c>
      <c r="AE81">
        <v>2571</v>
      </c>
      <c r="AF81">
        <v>12290</v>
      </c>
      <c r="AG81">
        <v>4</v>
      </c>
      <c r="AH81">
        <v>17</v>
      </c>
      <c r="AI81">
        <v>3</v>
      </c>
      <c r="AJ81">
        <v>3</v>
      </c>
      <c r="AK81">
        <v>80</v>
      </c>
      <c r="AL81">
        <v>1</v>
      </c>
      <c r="AM81">
        <v>17</v>
      </c>
      <c r="AN81">
        <v>3</v>
      </c>
      <c r="AO81">
        <v>5</v>
      </c>
      <c r="AP81">
        <v>2</v>
      </c>
      <c r="AQ81">
        <v>0</v>
      </c>
      <c r="AR81">
        <v>3</v>
      </c>
    </row>
    <row r="82" spans="1:44" x14ac:dyDescent="0.3">
      <c r="A82" t="s">
        <v>56</v>
      </c>
      <c r="B82" t="s">
        <v>91</v>
      </c>
      <c r="C82" t="s">
        <v>58</v>
      </c>
      <c r="D82" t="s">
        <v>59</v>
      </c>
      <c r="E82" t="s">
        <v>48</v>
      </c>
      <c r="F82" t="s">
        <v>49</v>
      </c>
      <c r="G82" t="s">
        <v>1200</v>
      </c>
      <c r="H82">
        <v>1801</v>
      </c>
      <c r="I82" t="s">
        <v>62</v>
      </c>
      <c r="J82" t="s">
        <v>52</v>
      </c>
      <c r="K82" t="s">
        <v>53</v>
      </c>
      <c r="L82" t="s">
        <v>56</v>
      </c>
      <c r="M82" t="s">
        <v>54</v>
      </c>
      <c r="N82">
        <v>3</v>
      </c>
      <c r="O82">
        <v>-2</v>
      </c>
      <c r="P82">
        <v>0</v>
      </c>
      <c r="Q82">
        <v>46</v>
      </c>
      <c r="R82">
        <v>0</v>
      </c>
      <c r="T82">
        <v>0</v>
      </c>
      <c r="U82">
        <v>1</v>
      </c>
      <c r="V82">
        <v>849</v>
      </c>
      <c r="W82">
        <v>26</v>
      </c>
      <c r="X82" t="s">
        <v>55</v>
      </c>
      <c r="Y82">
        <v>1</v>
      </c>
      <c r="Z82">
        <v>2</v>
      </c>
      <c r="AA82">
        <v>98</v>
      </c>
      <c r="AB82">
        <v>2</v>
      </c>
      <c r="AC82">
        <v>2</v>
      </c>
      <c r="AD82">
        <v>2</v>
      </c>
      <c r="AE82">
        <v>7991</v>
      </c>
      <c r="AF82">
        <v>25166</v>
      </c>
      <c r="AG82">
        <v>8</v>
      </c>
      <c r="AH82">
        <v>15</v>
      </c>
      <c r="AI82">
        <v>3</v>
      </c>
      <c r="AJ82">
        <v>3</v>
      </c>
      <c r="AK82">
        <v>80</v>
      </c>
      <c r="AL82">
        <v>0</v>
      </c>
      <c r="AM82">
        <v>6</v>
      </c>
      <c r="AN82">
        <v>3</v>
      </c>
      <c r="AO82">
        <v>2</v>
      </c>
      <c r="AP82">
        <v>2</v>
      </c>
      <c r="AQ82">
        <v>2</v>
      </c>
      <c r="AR82">
        <v>2</v>
      </c>
    </row>
    <row r="83" spans="1:44" x14ac:dyDescent="0.3">
      <c r="A83" t="s">
        <v>56</v>
      </c>
      <c r="B83" t="s">
        <v>45</v>
      </c>
      <c r="C83" t="s">
        <v>58</v>
      </c>
      <c r="D83" t="s">
        <v>59</v>
      </c>
      <c r="E83" t="s">
        <v>161</v>
      </c>
      <c r="F83" t="s">
        <v>72</v>
      </c>
      <c r="G83" t="s">
        <v>162</v>
      </c>
      <c r="H83">
        <v>103</v>
      </c>
      <c r="I83" t="s">
        <v>62</v>
      </c>
      <c r="J83" t="s">
        <v>163</v>
      </c>
      <c r="K83" t="s">
        <v>79</v>
      </c>
      <c r="L83" t="s">
        <v>44</v>
      </c>
      <c r="M83" t="s">
        <v>54</v>
      </c>
      <c r="N83">
        <v>2</v>
      </c>
      <c r="O83">
        <v>-2</v>
      </c>
      <c r="P83">
        <v>0</v>
      </c>
      <c r="Q83">
        <v>46</v>
      </c>
      <c r="R83">
        <v>0</v>
      </c>
      <c r="T83">
        <v>0</v>
      </c>
      <c r="U83">
        <v>1</v>
      </c>
      <c r="V83">
        <v>945</v>
      </c>
      <c r="W83">
        <v>5</v>
      </c>
      <c r="X83" t="s">
        <v>55</v>
      </c>
      <c r="Y83">
        <v>1</v>
      </c>
      <c r="Z83">
        <v>2</v>
      </c>
      <c r="AA83">
        <v>80</v>
      </c>
      <c r="AB83">
        <v>3</v>
      </c>
      <c r="AC83">
        <v>2</v>
      </c>
      <c r="AD83">
        <v>3</v>
      </c>
      <c r="AE83">
        <v>5021</v>
      </c>
      <c r="AF83">
        <v>10425</v>
      </c>
      <c r="AG83">
        <v>8</v>
      </c>
      <c r="AH83">
        <v>22</v>
      </c>
      <c r="AI83">
        <v>4</v>
      </c>
      <c r="AJ83">
        <v>4</v>
      </c>
      <c r="AK83">
        <v>80</v>
      </c>
      <c r="AL83">
        <v>1</v>
      </c>
      <c r="AM83">
        <v>16</v>
      </c>
      <c r="AN83">
        <v>3</v>
      </c>
      <c r="AO83">
        <v>4</v>
      </c>
      <c r="AP83">
        <v>2</v>
      </c>
      <c r="AQ83">
        <v>0</v>
      </c>
      <c r="AR83">
        <v>2</v>
      </c>
    </row>
    <row r="84" spans="1:44" x14ac:dyDescent="0.3">
      <c r="A84" t="s">
        <v>56</v>
      </c>
      <c r="B84" t="s">
        <v>91</v>
      </c>
      <c r="C84" t="s">
        <v>46</v>
      </c>
      <c r="D84" t="s">
        <v>59</v>
      </c>
      <c r="E84" t="s">
        <v>60</v>
      </c>
      <c r="F84" t="s">
        <v>49</v>
      </c>
      <c r="G84" t="s">
        <v>1195</v>
      </c>
      <c r="H84">
        <v>1976</v>
      </c>
      <c r="I84" t="s">
        <v>62</v>
      </c>
      <c r="J84" t="s">
        <v>63</v>
      </c>
      <c r="K84" t="s">
        <v>53</v>
      </c>
      <c r="L84" t="s">
        <v>56</v>
      </c>
      <c r="M84" t="s">
        <v>54</v>
      </c>
      <c r="N84">
        <v>2</v>
      </c>
      <c r="O84">
        <v>-2</v>
      </c>
      <c r="P84">
        <v>0</v>
      </c>
      <c r="Q84">
        <v>42</v>
      </c>
      <c r="R84">
        <v>0</v>
      </c>
      <c r="T84">
        <v>0</v>
      </c>
      <c r="U84">
        <v>1</v>
      </c>
      <c r="V84">
        <v>335</v>
      </c>
      <c r="W84">
        <v>23</v>
      </c>
      <c r="X84" t="s">
        <v>55</v>
      </c>
      <c r="Y84">
        <v>1</v>
      </c>
      <c r="Z84">
        <v>4</v>
      </c>
      <c r="AA84">
        <v>37</v>
      </c>
      <c r="AB84">
        <v>2</v>
      </c>
      <c r="AC84">
        <v>2</v>
      </c>
      <c r="AD84">
        <v>3</v>
      </c>
      <c r="AE84">
        <v>4332</v>
      </c>
      <c r="AF84">
        <v>14811</v>
      </c>
      <c r="AG84">
        <v>1</v>
      </c>
      <c r="AH84">
        <v>12</v>
      </c>
      <c r="AI84">
        <v>3</v>
      </c>
      <c r="AJ84">
        <v>4</v>
      </c>
      <c r="AK84">
        <v>80</v>
      </c>
      <c r="AL84">
        <v>0</v>
      </c>
      <c r="AM84">
        <v>20</v>
      </c>
      <c r="AN84">
        <v>3</v>
      </c>
      <c r="AO84">
        <v>20</v>
      </c>
      <c r="AP84">
        <v>9</v>
      </c>
      <c r="AQ84">
        <v>3</v>
      </c>
      <c r="AR84">
        <v>7</v>
      </c>
    </row>
    <row r="85" spans="1:44" x14ac:dyDescent="0.3">
      <c r="A85" t="s">
        <v>56</v>
      </c>
      <c r="B85" t="s">
        <v>91</v>
      </c>
      <c r="C85" t="s">
        <v>46</v>
      </c>
      <c r="D85" t="s">
        <v>59</v>
      </c>
      <c r="E85" t="s">
        <v>60</v>
      </c>
      <c r="F85" t="s">
        <v>113</v>
      </c>
      <c r="G85" t="s">
        <v>1194</v>
      </c>
      <c r="H85">
        <v>1440</v>
      </c>
      <c r="I85" t="s">
        <v>62</v>
      </c>
      <c r="J85" t="s">
        <v>68</v>
      </c>
      <c r="K85" t="s">
        <v>53</v>
      </c>
      <c r="L85" t="s">
        <v>56</v>
      </c>
      <c r="M85" t="s">
        <v>54</v>
      </c>
      <c r="N85">
        <v>2</v>
      </c>
      <c r="O85">
        <v>-2</v>
      </c>
      <c r="P85">
        <v>0</v>
      </c>
      <c r="Q85">
        <v>37</v>
      </c>
      <c r="R85">
        <v>0</v>
      </c>
      <c r="T85">
        <v>0</v>
      </c>
      <c r="U85">
        <v>1</v>
      </c>
      <c r="V85">
        <v>1413</v>
      </c>
      <c r="W85">
        <v>5</v>
      </c>
      <c r="X85" t="s">
        <v>55</v>
      </c>
      <c r="Y85">
        <v>1</v>
      </c>
      <c r="Z85">
        <v>4</v>
      </c>
      <c r="AA85">
        <v>84</v>
      </c>
      <c r="AB85">
        <v>4</v>
      </c>
      <c r="AC85">
        <v>1</v>
      </c>
      <c r="AD85">
        <v>4</v>
      </c>
      <c r="AE85">
        <v>3500</v>
      </c>
      <c r="AF85">
        <v>25470</v>
      </c>
      <c r="AG85">
        <v>0</v>
      </c>
      <c r="AH85">
        <v>14</v>
      </c>
      <c r="AI85">
        <v>3</v>
      </c>
      <c r="AJ85">
        <v>1</v>
      </c>
      <c r="AK85">
        <v>80</v>
      </c>
      <c r="AL85">
        <v>0</v>
      </c>
      <c r="AM85">
        <v>7</v>
      </c>
      <c r="AN85">
        <v>1</v>
      </c>
      <c r="AO85">
        <v>6</v>
      </c>
      <c r="AP85">
        <v>5</v>
      </c>
      <c r="AQ85">
        <v>1</v>
      </c>
      <c r="AR85">
        <v>3</v>
      </c>
    </row>
    <row r="86" spans="1:44" x14ac:dyDescent="0.3">
      <c r="A86" t="s">
        <v>56</v>
      </c>
      <c r="B86" t="s">
        <v>45</v>
      </c>
      <c r="C86" t="s">
        <v>75</v>
      </c>
      <c r="D86" t="s">
        <v>59</v>
      </c>
      <c r="E86" t="s">
        <v>48</v>
      </c>
      <c r="F86" t="s">
        <v>49</v>
      </c>
      <c r="G86" t="s">
        <v>166</v>
      </c>
      <c r="H86">
        <v>106</v>
      </c>
      <c r="I86" t="s">
        <v>62</v>
      </c>
      <c r="J86" t="s">
        <v>52</v>
      </c>
      <c r="K86" t="s">
        <v>64</v>
      </c>
      <c r="L86" t="s">
        <v>56</v>
      </c>
      <c r="M86" t="s">
        <v>54</v>
      </c>
      <c r="N86">
        <v>4</v>
      </c>
      <c r="O86">
        <v>-2</v>
      </c>
      <c r="P86">
        <v>0</v>
      </c>
      <c r="Q86">
        <v>55</v>
      </c>
      <c r="R86">
        <v>0</v>
      </c>
      <c r="T86">
        <v>0</v>
      </c>
      <c r="U86">
        <v>1</v>
      </c>
      <c r="V86">
        <v>111</v>
      </c>
      <c r="W86">
        <v>1</v>
      </c>
      <c r="X86" t="s">
        <v>55</v>
      </c>
      <c r="Y86">
        <v>1</v>
      </c>
      <c r="Z86">
        <v>1</v>
      </c>
      <c r="AA86">
        <v>70</v>
      </c>
      <c r="AB86">
        <v>3</v>
      </c>
      <c r="AC86">
        <v>3</v>
      </c>
      <c r="AD86">
        <v>2</v>
      </c>
      <c r="AE86">
        <v>10239</v>
      </c>
      <c r="AF86">
        <v>18092</v>
      </c>
      <c r="AG86">
        <v>3</v>
      </c>
      <c r="AH86">
        <v>14</v>
      </c>
      <c r="AI86">
        <v>3</v>
      </c>
      <c r="AJ86">
        <v>4</v>
      </c>
      <c r="AK86">
        <v>80</v>
      </c>
      <c r="AL86">
        <v>1</v>
      </c>
      <c r="AM86">
        <v>24</v>
      </c>
      <c r="AN86">
        <v>3</v>
      </c>
      <c r="AO86">
        <v>1</v>
      </c>
      <c r="AP86">
        <v>0</v>
      </c>
      <c r="AQ86">
        <v>1</v>
      </c>
      <c r="AR86">
        <v>0</v>
      </c>
    </row>
    <row r="87" spans="1:44" x14ac:dyDescent="0.3">
      <c r="A87" t="s">
        <v>56</v>
      </c>
      <c r="B87" t="s">
        <v>91</v>
      </c>
      <c r="C87" t="s">
        <v>69</v>
      </c>
      <c r="D87" t="s">
        <v>59</v>
      </c>
      <c r="E87" t="s">
        <v>60</v>
      </c>
      <c r="F87" t="s">
        <v>72</v>
      </c>
      <c r="G87" t="s">
        <v>1186</v>
      </c>
      <c r="H87">
        <v>1994</v>
      </c>
      <c r="I87" t="s">
        <v>62</v>
      </c>
      <c r="J87" t="s">
        <v>68</v>
      </c>
      <c r="K87" t="s">
        <v>79</v>
      </c>
      <c r="L87" t="s">
        <v>56</v>
      </c>
      <c r="M87" t="s">
        <v>54</v>
      </c>
      <c r="N87">
        <v>2</v>
      </c>
      <c r="O87">
        <v>-2</v>
      </c>
      <c r="P87">
        <v>0</v>
      </c>
      <c r="Q87">
        <v>33</v>
      </c>
      <c r="R87">
        <v>0</v>
      </c>
      <c r="T87">
        <v>0</v>
      </c>
      <c r="U87">
        <v>1</v>
      </c>
      <c r="V87">
        <v>1313</v>
      </c>
      <c r="W87">
        <v>1</v>
      </c>
      <c r="X87" t="s">
        <v>55</v>
      </c>
      <c r="Y87">
        <v>1</v>
      </c>
      <c r="Z87">
        <v>2</v>
      </c>
      <c r="AA87">
        <v>59</v>
      </c>
      <c r="AB87">
        <v>2</v>
      </c>
      <c r="AC87">
        <v>1</v>
      </c>
      <c r="AD87">
        <v>3</v>
      </c>
      <c r="AE87">
        <v>2008</v>
      </c>
      <c r="AF87">
        <v>20439</v>
      </c>
      <c r="AG87">
        <v>1</v>
      </c>
      <c r="AH87">
        <v>12</v>
      </c>
      <c r="AI87">
        <v>3</v>
      </c>
      <c r="AJ87">
        <v>3</v>
      </c>
      <c r="AK87">
        <v>80</v>
      </c>
      <c r="AL87">
        <v>3</v>
      </c>
      <c r="AM87">
        <v>1</v>
      </c>
      <c r="AN87">
        <v>2</v>
      </c>
      <c r="AO87">
        <v>1</v>
      </c>
      <c r="AP87">
        <v>1</v>
      </c>
      <c r="AQ87">
        <v>0</v>
      </c>
      <c r="AR87">
        <v>0</v>
      </c>
    </row>
    <row r="88" spans="1:44" x14ac:dyDescent="0.3">
      <c r="A88" t="s">
        <v>56</v>
      </c>
      <c r="B88" t="s">
        <v>45</v>
      </c>
      <c r="C88" t="s">
        <v>69</v>
      </c>
      <c r="D88" t="s">
        <v>59</v>
      </c>
      <c r="E88" t="s">
        <v>60</v>
      </c>
      <c r="F88" t="s">
        <v>72</v>
      </c>
      <c r="G88" t="s">
        <v>168</v>
      </c>
      <c r="H88">
        <v>110</v>
      </c>
      <c r="I88" t="s">
        <v>62</v>
      </c>
      <c r="J88" t="s">
        <v>81</v>
      </c>
      <c r="K88" t="s">
        <v>64</v>
      </c>
      <c r="L88" t="s">
        <v>56</v>
      </c>
      <c r="M88" t="s">
        <v>54</v>
      </c>
      <c r="N88">
        <v>2</v>
      </c>
      <c r="O88">
        <v>-2</v>
      </c>
      <c r="P88">
        <v>0</v>
      </c>
      <c r="Q88">
        <v>34</v>
      </c>
      <c r="R88">
        <v>0</v>
      </c>
      <c r="T88">
        <v>0</v>
      </c>
      <c r="U88">
        <v>1</v>
      </c>
      <c r="V88">
        <v>1153</v>
      </c>
      <c r="W88">
        <v>1</v>
      </c>
      <c r="X88" t="s">
        <v>55</v>
      </c>
      <c r="Y88">
        <v>1</v>
      </c>
      <c r="Z88">
        <v>1</v>
      </c>
      <c r="AA88">
        <v>94</v>
      </c>
      <c r="AB88">
        <v>3</v>
      </c>
      <c r="AC88">
        <v>2</v>
      </c>
      <c r="AD88">
        <v>3</v>
      </c>
      <c r="AE88">
        <v>4325</v>
      </c>
      <c r="AF88">
        <v>17736</v>
      </c>
      <c r="AG88">
        <v>1</v>
      </c>
      <c r="AH88">
        <v>15</v>
      </c>
      <c r="AI88">
        <v>3</v>
      </c>
      <c r="AJ88">
        <v>3</v>
      </c>
      <c r="AK88">
        <v>80</v>
      </c>
      <c r="AL88">
        <v>0</v>
      </c>
      <c r="AM88">
        <v>5</v>
      </c>
      <c r="AN88">
        <v>3</v>
      </c>
      <c r="AO88">
        <v>5</v>
      </c>
      <c r="AP88">
        <v>2</v>
      </c>
      <c r="AQ88">
        <v>1</v>
      </c>
      <c r="AR88">
        <v>3</v>
      </c>
    </row>
    <row r="89" spans="1:44" x14ac:dyDescent="0.3">
      <c r="A89" t="s">
        <v>56</v>
      </c>
      <c r="B89" t="s">
        <v>91</v>
      </c>
      <c r="C89" t="s">
        <v>46</v>
      </c>
      <c r="D89" t="s">
        <v>59</v>
      </c>
      <c r="E89" t="s">
        <v>60</v>
      </c>
      <c r="F89" t="s">
        <v>72</v>
      </c>
      <c r="G89" t="s">
        <v>1181</v>
      </c>
      <c r="H89">
        <v>1804</v>
      </c>
      <c r="I89" t="s">
        <v>62</v>
      </c>
      <c r="J89" t="s">
        <v>81</v>
      </c>
      <c r="K89" t="s">
        <v>79</v>
      </c>
      <c r="L89" t="s">
        <v>56</v>
      </c>
      <c r="M89" t="s">
        <v>54</v>
      </c>
      <c r="N89">
        <v>6</v>
      </c>
      <c r="O89">
        <v>-2</v>
      </c>
      <c r="P89">
        <v>0</v>
      </c>
      <c r="Q89">
        <v>35</v>
      </c>
      <c r="R89">
        <v>0</v>
      </c>
      <c r="T89">
        <v>0</v>
      </c>
      <c r="U89">
        <v>1</v>
      </c>
      <c r="V89">
        <v>1180</v>
      </c>
      <c r="W89">
        <v>2</v>
      </c>
      <c r="X89" t="s">
        <v>55</v>
      </c>
      <c r="Y89">
        <v>1</v>
      </c>
      <c r="Z89">
        <v>2</v>
      </c>
      <c r="AA89">
        <v>90</v>
      </c>
      <c r="AB89">
        <v>3</v>
      </c>
      <c r="AC89">
        <v>2</v>
      </c>
      <c r="AD89">
        <v>4</v>
      </c>
      <c r="AE89">
        <v>5762</v>
      </c>
      <c r="AF89">
        <v>24442</v>
      </c>
      <c r="AG89">
        <v>2</v>
      </c>
      <c r="AH89">
        <v>14</v>
      </c>
      <c r="AI89">
        <v>3</v>
      </c>
      <c r="AJ89">
        <v>3</v>
      </c>
      <c r="AK89">
        <v>80</v>
      </c>
      <c r="AL89">
        <v>1</v>
      </c>
      <c r="AM89">
        <v>15</v>
      </c>
      <c r="AN89">
        <v>3</v>
      </c>
      <c r="AO89">
        <v>7</v>
      </c>
      <c r="AP89">
        <v>7</v>
      </c>
      <c r="AQ89">
        <v>1</v>
      </c>
      <c r="AR89">
        <v>7</v>
      </c>
    </row>
    <row r="90" spans="1:44" x14ac:dyDescent="0.3">
      <c r="A90" t="s">
        <v>56</v>
      </c>
      <c r="B90" t="s">
        <v>91</v>
      </c>
      <c r="C90" t="s">
        <v>69</v>
      </c>
      <c r="D90" t="s">
        <v>59</v>
      </c>
      <c r="E90" t="s">
        <v>161</v>
      </c>
      <c r="F90" t="s">
        <v>49</v>
      </c>
      <c r="G90" t="s">
        <v>1178</v>
      </c>
      <c r="H90">
        <v>1858</v>
      </c>
      <c r="I90" t="s">
        <v>62</v>
      </c>
      <c r="J90" t="s">
        <v>163</v>
      </c>
      <c r="K90" t="s">
        <v>79</v>
      </c>
      <c r="L90" t="s">
        <v>56</v>
      </c>
      <c r="M90" t="s">
        <v>54</v>
      </c>
      <c r="N90">
        <v>2</v>
      </c>
      <c r="O90">
        <v>-2</v>
      </c>
      <c r="P90">
        <v>0</v>
      </c>
      <c r="Q90">
        <v>28</v>
      </c>
      <c r="R90">
        <v>0</v>
      </c>
      <c r="T90">
        <v>0</v>
      </c>
      <c r="U90">
        <v>1</v>
      </c>
      <c r="V90">
        <v>280</v>
      </c>
      <c r="W90">
        <v>1</v>
      </c>
      <c r="X90" t="s">
        <v>55</v>
      </c>
      <c r="Y90">
        <v>1</v>
      </c>
      <c r="Z90">
        <v>3</v>
      </c>
      <c r="AA90">
        <v>43</v>
      </c>
      <c r="AB90">
        <v>3</v>
      </c>
      <c r="AC90">
        <v>1</v>
      </c>
      <c r="AD90">
        <v>4</v>
      </c>
      <c r="AE90">
        <v>2706</v>
      </c>
      <c r="AF90">
        <v>10494</v>
      </c>
      <c r="AG90">
        <v>1</v>
      </c>
      <c r="AH90">
        <v>15</v>
      </c>
      <c r="AI90">
        <v>3</v>
      </c>
      <c r="AJ90">
        <v>2</v>
      </c>
      <c r="AK90">
        <v>80</v>
      </c>
      <c r="AL90">
        <v>1</v>
      </c>
      <c r="AM90">
        <v>3</v>
      </c>
      <c r="AN90">
        <v>3</v>
      </c>
      <c r="AO90">
        <v>3</v>
      </c>
      <c r="AP90">
        <v>2</v>
      </c>
      <c r="AQ90">
        <v>2</v>
      </c>
      <c r="AR90">
        <v>2</v>
      </c>
    </row>
    <row r="91" spans="1:44" x14ac:dyDescent="0.3">
      <c r="A91" t="s">
        <v>56</v>
      </c>
      <c r="B91" t="s">
        <v>45</v>
      </c>
      <c r="C91" t="s">
        <v>69</v>
      </c>
      <c r="D91" t="s">
        <v>59</v>
      </c>
      <c r="E91" t="s">
        <v>48</v>
      </c>
      <c r="F91" t="s">
        <v>49</v>
      </c>
      <c r="G91" t="s">
        <v>1174</v>
      </c>
      <c r="H91">
        <v>1779</v>
      </c>
      <c r="I91" t="s">
        <v>51</v>
      </c>
      <c r="J91" t="s">
        <v>52</v>
      </c>
      <c r="K91" t="s">
        <v>53</v>
      </c>
      <c r="L91" t="s">
        <v>56</v>
      </c>
      <c r="M91" t="s">
        <v>54</v>
      </c>
      <c r="N91">
        <v>3</v>
      </c>
      <c r="O91">
        <v>-2</v>
      </c>
      <c r="P91">
        <v>0</v>
      </c>
      <c r="Q91">
        <v>34</v>
      </c>
      <c r="R91">
        <v>0</v>
      </c>
      <c r="T91">
        <v>0</v>
      </c>
      <c r="U91">
        <v>1</v>
      </c>
      <c r="V91">
        <v>511</v>
      </c>
      <c r="W91">
        <v>3</v>
      </c>
      <c r="X91" t="s">
        <v>55</v>
      </c>
      <c r="Y91">
        <v>1</v>
      </c>
      <c r="Z91">
        <v>4</v>
      </c>
      <c r="AA91">
        <v>32</v>
      </c>
      <c r="AB91">
        <v>1</v>
      </c>
      <c r="AC91">
        <v>2</v>
      </c>
      <c r="AD91">
        <v>4</v>
      </c>
      <c r="AE91">
        <v>6029</v>
      </c>
      <c r="AF91">
        <v>25353</v>
      </c>
      <c r="AG91">
        <v>5</v>
      </c>
      <c r="AH91">
        <v>12</v>
      </c>
      <c r="AI91">
        <v>3</v>
      </c>
      <c r="AJ91">
        <v>1</v>
      </c>
      <c r="AK91">
        <v>80</v>
      </c>
      <c r="AL91">
        <v>0</v>
      </c>
      <c r="AM91">
        <v>6</v>
      </c>
      <c r="AN91">
        <v>3</v>
      </c>
      <c r="AO91">
        <v>2</v>
      </c>
      <c r="AP91">
        <v>2</v>
      </c>
      <c r="AQ91">
        <v>2</v>
      </c>
      <c r="AR91">
        <v>2</v>
      </c>
    </row>
    <row r="92" spans="1:44" x14ac:dyDescent="0.3">
      <c r="A92" t="s">
        <v>56</v>
      </c>
      <c r="B92" t="s">
        <v>45</v>
      </c>
      <c r="C92" t="s">
        <v>69</v>
      </c>
      <c r="D92" t="s">
        <v>59</v>
      </c>
      <c r="E92" t="s">
        <v>48</v>
      </c>
      <c r="F92" t="s">
        <v>72</v>
      </c>
      <c r="G92" t="s">
        <v>1169</v>
      </c>
      <c r="H92">
        <v>1898</v>
      </c>
      <c r="I92" t="s">
        <v>51</v>
      </c>
      <c r="J92" t="s">
        <v>52</v>
      </c>
      <c r="K92" t="s">
        <v>53</v>
      </c>
      <c r="L92" t="s">
        <v>56</v>
      </c>
      <c r="M92" t="s">
        <v>54</v>
      </c>
      <c r="N92">
        <v>5</v>
      </c>
      <c r="O92">
        <v>-2</v>
      </c>
      <c r="P92">
        <v>0</v>
      </c>
      <c r="Q92">
        <v>27</v>
      </c>
      <c r="R92">
        <v>0</v>
      </c>
      <c r="T92">
        <v>0</v>
      </c>
      <c r="U92">
        <v>1</v>
      </c>
      <c r="V92">
        <v>511</v>
      </c>
      <c r="W92">
        <v>2</v>
      </c>
      <c r="X92" t="s">
        <v>55</v>
      </c>
      <c r="Y92">
        <v>1</v>
      </c>
      <c r="Z92">
        <v>1</v>
      </c>
      <c r="AA92">
        <v>89</v>
      </c>
      <c r="AB92">
        <v>4</v>
      </c>
      <c r="AC92">
        <v>2</v>
      </c>
      <c r="AD92">
        <v>3</v>
      </c>
      <c r="AE92">
        <v>6500</v>
      </c>
      <c r="AF92">
        <v>26997</v>
      </c>
      <c r="AG92">
        <v>0</v>
      </c>
      <c r="AH92">
        <v>14</v>
      </c>
      <c r="AI92">
        <v>3</v>
      </c>
      <c r="AJ92">
        <v>2</v>
      </c>
      <c r="AK92">
        <v>80</v>
      </c>
      <c r="AL92">
        <v>0</v>
      </c>
      <c r="AM92">
        <v>9</v>
      </c>
      <c r="AN92">
        <v>2</v>
      </c>
      <c r="AO92">
        <v>8</v>
      </c>
      <c r="AP92">
        <v>7</v>
      </c>
      <c r="AQ92">
        <v>0</v>
      </c>
      <c r="AR92">
        <v>7</v>
      </c>
    </row>
    <row r="93" spans="1:44" x14ac:dyDescent="0.3">
      <c r="A93" t="s">
        <v>44</v>
      </c>
      <c r="B93" t="s">
        <v>45</v>
      </c>
      <c r="C93" t="s">
        <v>58</v>
      </c>
      <c r="D93" t="s">
        <v>47</v>
      </c>
      <c r="E93" t="s">
        <v>48</v>
      </c>
      <c r="F93" t="s">
        <v>72</v>
      </c>
      <c r="G93" t="s">
        <v>173</v>
      </c>
      <c r="H93">
        <v>118</v>
      </c>
      <c r="I93" t="s">
        <v>62</v>
      </c>
      <c r="J93" t="s">
        <v>52</v>
      </c>
      <c r="K93" t="s">
        <v>53</v>
      </c>
      <c r="L93" t="s">
        <v>56</v>
      </c>
      <c r="M93" t="s">
        <v>54</v>
      </c>
      <c r="N93">
        <v>3</v>
      </c>
      <c r="O93">
        <v>-2</v>
      </c>
      <c r="P93">
        <v>0</v>
      </c>
      <c r="Q93">
        <v>46</v>
      </c>
      <c r="R93">
        <v>1</v>
      </c>
      <c r="S93">
        <v>1</v>
      </c>
      <c r="T93">
        <v>1</v>
      </c>
      <c r="U93">
        <v>0</v>
      </c>
      <c r="V93">
        <v>669</v>
      </c>
      <c r="W93">
        <v>9</v>
      </c>
      <c r="X93" t="s">
        <v>55</v>
      </c>
      <c r="Y93">
        <v>1</v>
      </c>
      <c r="Z93">
        <v>3</v>
      </c>
      <c r="AA93">
        <v>64</v>
      </c>
      <c r="AB93">
        <v>2</v>
      </c>
      <c r="AC93">
        <v>3</v>
      </c>
      <c r="AD93">
        <v>4</v>
      </c>
      <c r="AE93">
        <v>9619</v>
      </c>
      <c r="AF93">
        <v>13596</v>
      </c>
      <c r="AG93">
        <v>1</v>
      </c>
      <c r="AH93">
        <v>16</v>
      </c>
      <c r="AI93">
        <v>3</v>
      </c>
      <c r="AJ93">
        <v>4</v>
      </c>
      <c r="AK93">
        <v>80</v>
      </c>
      <c r="AL93">
        <v>0</v>
      </c>
      <c r="AM93">
        <v>9</v>
      </c>
      <c r="AN93">
        <v>3</v>
      </c>
      <c r="AO93">
        <v>9</v>
      </c>
      <c r="AP93">
        <v>8</v>
      </c>
      <c r="AQ93">
        <v>4</v>
      </c>
      <c r="AR93">
        <v>7</v>
      </c>
    </row>
    <row r="94" spans="1:44" x14ac:dyDescent="0.3">
      <c r="A94" t="s">
        <v>56</v>
      </c>
      <c r="B94" t="s">
        <v>45</v>
      </c>
      <c r="C94" t="s">
        <v>46</v>
      </c>
      <c r="D94" t="s">
        <v>59</v>
      </c>
      <c r="E94" t="s">
        <v>48</v>
      </c>
      <c r="F94" t="s">
        <v>49</v>
      </c>
      <c r="G94" t="s">
        <v>1163</v>
      </c>
      <c r="H94">
        <v>1598</v>
      </c>
      <c r="I94" t="s">
        <v>51</v>
      </c>
      <c r="J94" t="s">
        <v>52</v>
      </c>
      <c r="K94" t="s">
        <v>64</v>
      </c>
      <c r="L94" t="s">
        <v>56</v>
      </c>
      <c r="M94" t="s">
        <v>54</v>
      </c>
      <c r="N94">
        <v>2</v>
      </c>
      <c r="O94">
        <v>-2</v>
      </c>
      <c r="P94">
        <v>0</v>
      </c>
      <c r="Q94">
        <v>40</v>
      </c>
      <c r="R94">
        <v>0</v>
      </c>
      <c r="T94">
        <v>0</v>
      </c>
      <c r="U94">
        <v>1</v>
      </c>
      <c r="V94">
        <v>118</v>
      </c>
      <c r="W94">
        <v>14</v>
      </c>
      <c r="X94" t="s">
        <v>55</v>
      </c>
      <c r="Y94">
        <v>1</v>
      </c>
      <c r="Z94">
        <v>4</v>
      </c>
      <c r="AA94">
        <v>84</v>
      </c>
      <c r="AB94">
        <v>3</v>
      </c>
      <c r="AC94">
        <v>2</v>
      </c>
      <c r="AD94">
        <v>3</v>
      </c>
      <c r="AE94">
        <v>4639</v>
      </c>
      <c r="AF94">
        <v>11262</v>
      </c>
      <c r="AG94">
        <v>1</v>
      </c>
      <c r="AH94">
        <v>15</v>
      </c>
      <c r="AI94">
        <v>3</v>
      </c>
      <c r="AJ94">
        <v>3</v>
      </c>
      <c r="AK94">
        <v>80</v>
      </c>
      <c r="AL94">
        <v>1</v>
      </c>
      <c r="AM94">
        <v>5</v>
      </c>
      <c r="AN94">
        <v>3</v>
      </c>
      <c r="AO94">
        <v>5</v>
      </c>
      <c r="AP94">
        <v>4</v>
      </c>
      <c r="AQ94">
        <v>1</v>
      </c>
      <c r="AR94">
        <v>2</v>
      </c>
    </row>
    <row r="95" spans="1:44" x14ac:dyDescent="0.3">
      <c r="A95" t="s">
        <v>56</v>
      </c>
      <c r="B95" t="s">
        <v>45</v>
      </c>
      <c r="C95" t="s">
        <v>46</v>
      </c>
      <c r="D95" t="s">
        <v>59</v>
      </c>
      <c r="E95" t="s">
        <v>48</v>
      </c>
      <c r="F95" t="s">
        <v>106</v>
      </c>
      <c r="G95" t="s">
        <v>1159</v>
      </c>
      <c r="H95">
        <v>1986</v>
      </c>
      <c r="I95" t="s">
        <v>51</v>
      </c>
      <c r="J95" t="s">
        <v>52</v>
      </c>
      <c r="K95" t="s">
        <v>64</v>
      </c>
      <c r="L95" t="s">
        <v>56</v>
      </c>
      <c r="M95" t="s">
        <v>54</v>
      </c>
      <c r="N95">
        <v>4</v>
      </c>
      <c r="O95">
        <v>-2</v>
      </c>
      <c r="P95">
        <v>0</v>
      </c>
      <c r="Q95">
        <v>40</v>
      </c>
      <c r="R95">
        <v>0</v>
      </c>
      <c r="T95">
        <v>0</v>
      </c>
      <c r="U95">
        <v>1</v>
      </c>
      <c r="V95">
        <v>444</v>
      </c>
      <c r="W95">
        <v>2</v>
      </c>
      <c r="X95" t="s">
        <v>55</v>
      </c>
      <c r="Y95">
        <v>1</v>
      </c>
      <c r="Z95">
        <v>2</v>
      </c>
      <c r="AA95">
        <v>92</v>
      </c>
      <c r="AB95">
        <v>3</v>
      </c>
      <c r="AC95">
        <v>2</v>
      </c>
      <c r="AD95">
        <v>2</v>
      </c>
      <c r="AE95">
        <v>5677</v>
      </c>
      <c r="AF95">
        <v>4258</v>
      </c>
      <c r="AG95">
        <v>3</v>
      </c>
      <c r="AH95">
        <v>14</v>
      </c>
      <c r="AI95">
        <v>3</v>
      </c>
      <c r="AJ95">
        <v>3</v>
      </c>
      <c r="AK95">
        <v>80</v>
      </c>
      <c r="AL95">
        <v>1</v>
      </c>
      <c r="AM95">
        <v>15</v>
      </c>
      <c r="AN95">
        <v>3</v>
      </c>
      <c r="AO95">
        <v>11</v>
      </c>
      <c r="AP95">
        <v>8</v>
      </c>
      <c r="AQ95">
        <v>5</v>
      </c>
      <c r="AR95">
        <v>10</v>
      </c>
    </row>
    <row r="96" spans="1:44" x14ac:dyDescent="0.3">
      <c r="A96" t="s">
        <v>56</v>
      </c>
      <c r="B96" t="s">
        <v>45</v>
      </c>
      <c r="C96" t="s">
        <v>69</v>
      </c>
      <c r="D96" t="s">
        <v>59</v>
      </c>
      <c r="E96" t="s">
        <v>48</v>
      </c>
      <c r="F96" t="s">
        <v>72</v>
      </c>
      <c r="G96" t="s">
        <v>176</v>
      </c>
      <c r="H96">
        <v>121</v>
      </c>
      <c r="I96" t="s">
        <v>51</v>
      </c>
      <c r="J96" t="s">
        <v>52</v>
      </c>
      <c r="K96" t="s">
        <v>79</v>
      </c>
      <c r="L96" t="s">
        <v>44</v>
      </c>
      <c r="M96" t="s">
        <v>54</v>
      </c>
      <c r="N96">
        <v>4</v>
      </c>
      <c r="O96">
        <v>-2</v>
      </c>
      <c r="P96">
        <v>0</v>
      </c>
      <c r="Q96">
        <v>30</v>
      </c>
      <c r="R96">
        <v>0</v>
      </c>
      <c r="T96">
        <v>0</v>
      </c>
      <c r="U96">
        <v>1</v>
      </c>
      <c r="V96">
        <v>1334</v>
      </c>
      <c r="W96">
        <v>4</v>
      </c>
      <c r="X96" t="s">
        <v>55</v>
      </c>
      <c r="Y96">
        <v>1</v>
      </c>
      <c r="Z96">
        <v>3</v>
      </c>
      <c r="AA96">
        <v>63</v>
      </c>
      <c r="AB96">
        <v>2</v>
      </c>
      <c r="AC96">
        <v>2</v>
      </c>
      <c r="AD96">
        <v>3</v>
      </c>
      <c r="AE96">
        <v>5209</v>
      </c>
      <c r="AF96">
        <v>19760</v>
      </c>
      <c r="AG96">
        <v>1</v>
      </c>
      <c r="AH96">
        <v>12</v>
      </c>
      <c r="AI96">
        <v>3</v>
      </c>
      <c r="AJ96">
        <v>2</v>
      </c>
      <c r="AK96">
        <v>80</v>
      </c>
      <c r="AL96">
        <v>3</v>
      </c>
      <c r="AM96">
        <v>11</v>
      </c>
      <c r="AN96">
        <v>2</v>
      </c>
      <c r="AO96">
        <v>11</v>
      </c>
      <c r="AP96">
        <v>8</v>
      </c>
      <c r="AQ96">
        <v>2</v>
      </c>
      <c r="AR96">
        <v>7</v>
      </c>
    </row>
    <row r="97" spans="1:44" x14ac:dyDescent="0.3">
      <c r="A97" t="s">
        <v>56</v>
      </c>
      <c r="B97" t="s">
        <v>45</v>
      </c>
      <c r="C97" t="s">
        <v>46</v>
      </c>
      <c r="D97" t="s">
        <v>59</v>
      </c>
      <c r="E97" t="s">
        <v>48</v>
      </c>
      <c r="F97" t="s">
        <v>49</v>
      </c>
      <c r="G97" t="s">
        <v>1156</v>
      </c>
      <c r="H97">
        <v>2041</v>
      </c>
      <c r="I97" t="s">
        <v>51</v>
      </c>
      <c r="J97" t="s">
        <v>52</v>
      </c>
      <c r="K97" t="s">
        <v>64</v>
      </c>
      <c r="L97" t="s">
        <v>56</v>
      </c>
      <c r="M97" t="s">
        <v>54</v>
      </c>
      <c r="N97">
        <v>1</v>
      </c>
      <c r="O97">
        <v>-2</v>
      </c>
      <c r="P97">
        <v>0</v>
      </c>
      <c r="Q97">
        <v>38</v>
      </c>
      <c r="R97">
        <v>0</v>
      </c>
      <c r="T97">
        <v>0</v>
      </c>
      <c r="U97">
        <v>1</v>
      </c>
      <c r="V97">
        <v>345</v>
      </c>
      <c r="W97">
        <v>10</v>
      </c>
      <c r="X97" t="s">
        <v>55</v>
      </c>
      <c r="Y97">
        <v>1</v>
      </c>
      <c r="Z97">
        <v>1</v>
      </c>
      <c r="AA97">
        <v>100</v>
      </c>
      <c r="AB97">
        <v>3</v>
      </c>
      <c r="AC97">
        <v>2</v>
      </c>
      <c r="AD97">
        <v>4</v>
      </c>
      <c r="AE97">
        <v>5343</v>
      </c>
      <c r="AF97">
        <v>5982</v>
      </c>
      <c r="AG97">
        <v>1</v>
      </c>
      <c r="AH97">
        <v>11</v>
      </c>
      <c r="AI97">
        <v>3</v>
      </c>
      <c r="AJ97">
        <v>3</v>
      </c>
      <c r="AK97">
        <v>80</v>
      </c>
      <c r="AL97">
        <v>1</v>
      </c>
      <c r="AM97">
        <v>10</v>
      </c>
      <c r="AN97">
        <v>3</v>
      </c>
      <c r="AO97">
        <v>10</v>
      </c>
      <c r="AP97">
        <v>7</v>
      </c>
      <c r="AQ97">
        <v>1</v>
      </c>
      <c r="AR97">
        <v>9</v>
      </c>
    </row>
    <row r="98" spans="1:44" x14ac:dyDescent="0.3">
      <c r="A98" t="s">
        <v>56</v>
      </c>
      <c r="B98" t="s">
        <v>45</v>
      </c>
      <c r="C98" t="s">
        <v>58</v>
      </c>
      <c r="D98" t="s">
        <v>59</v>
      </c>
      <c r="E98" t="s">
        <v>60</v>
      </c>
      <c r="F98" t="s">
        <v>113</v>
      </c>
      <c r="G98" t="s">
        <v>1150</v>
      </c>
      <c r="H98">
        <v>1719</v>
      </c>
      <c r="I98" t="s">
        <v>51</v>
      </c>
      <c r="J98" t="s">
        <v>101</v>
      </c>
      <c r="K98" t="s">
        <v>53</v>
      </c>
      <c r="L98" t="s">
        <v>56</v>
      </c>
      <c r="M98" t="s">
        <v>54</v>
      </c>
      <c r="N98">
        <v>2</v>
      </c>
      <c r="O98">
        <v>-2</v>
      </c>
      <c r="P98">
        <v>0</v>
      </c>
      <c r="Q98">
        <v>45</v>
      </c>
      <c r="R98">
        <v>0</v>
      </c>
      <c r="T98">
        <v>0</v>
      </c>
      <c r="U98">
        <v>1</v>
      </c>
      <c r="V98">
        <v>1005</v>
      </c>
      <c r="W98">
        <v>28</v>
      </c>
      <c r="X98" t="s">
        <v>55</v>
      </c>
      <c r="Y98">
        <v>1</v>
      </c>
      <c r="Z98">
        <v>4</v>
      </c>
      <c r="AA98">
        <v>48</v>
      </c>
      <c r="AB98">
        <v>2</v>
      </c>
      <c r="AC98">
        <v>4</v>
      </c>
      <c r="AD98">
        <v>4</v>
      </c>
      <c r="AE98">
        <v>16704</v>
      </c>
      <c r="AF98">
        <v>17119</v>
      </c>
      <c r="AG98">
        <v>1</v>
      </c>
      <c r="AH98">
        <v>11</v>
      </c>
      <c r="AI98">
        <v>3</v>
      </c>
      <c r="AJ98">
        <v>3</v>
      </c>
      <c r="AK98">
        <v>80</v>
      </c>
      <c r="AL98">
        <v>0</v>
      </c>
      <c r="AM98">
        <v>21</v>
      </c>
      <c r="AN98">
        <v>3</v>
      </c>
      <c r="AO98">
        <v>21</v>
      </c>
      <c r="AP98">
        <v>6</v>
      </c>
      <c r="AQ98">
        <v>8</v>
      </c>
      <c r="AR98">
        <v>6</v>
      </c>
    </row>
    <row r="99" spans="1:44" x14ac:dyDescent="0.3">
      <c r="A99" t="s">
        <v>56</v>
      </c>
      <c r="B99" t="s">
        <v>45</v>
      </c>
      <c r="C99" t="s">
        <v>58</v>
      </c>
      <c r="D99" t="s">
        <v>59</v>
      </c>
      <c r="E99" t="s">
        <v>60</v>
      </c>
      <c r="F99" t="s">
        <v>49</v>
      </c>
      <c r="G99" t="s">
        <v>1136</v>
      </c>
      <c r="H99">
        <v>1888</v>
      </c>
      <c r="I99" t="s">
        <v>51</v>
      </c>
      <c r="J99" t="s">
        <v>81</v>
      </c>
      <c r="K99" t="s">
        <v>64</v>
      </c>
      <c r="L99" t="s">
        <v>56</v>
      </c>
      <c r="M99" t="s">
        <v>54</v>
      </c>
      <c r="N99">
        <v>2</v>
      </c>
      <c r="O99">
        <v>-2</v>
      </c>
      <c r="P99">
        <v>0</v>
      </c>
      <c r="Q99">
        <v>45</v>
      </c>
      <c r="R99">
        <v>0</v>
      </c>
      <c r="T99">
        <v>0</v>
      </c>
      <c r="U99">
        <v>1</v>
      </c>
      <c r="V99">
        <v>556</v>
      </c>
      <c r="W99">
        <v>25</v>
      </c>
      <c r="X99" t="s">
        <v>55</v>
      </c>
      <c r="Y99">
        <v>1</v>
      </c>
      <c r="Z99">
        <v>2</v>
      </c>
      <c r="AA99">
        <v>93</v>
      </c>
      <c r="AB99">
        <v>2</v>
      </c>
      <c r="AC99">
        <v>2</v>
      </c>
      <c r="AD99">
        <v>4</v>
      </c>
      <c r="AE99">
        <v>5906</v>
      </c>
      <c r="AF99">
        <v>23888</v>
      </c>
      <c r="AG99">
        <v>0</v>
      </c>
      <c r="AH99">
        <v>13</v>
      </c>
      <c r="AI99">
        <v>3</v>
      </c>
      <c r="AJ99">
        <v>4</v>
      </c>
      <c r="AK99">
        <v>80</v>
      </c>
      <c r="AL99">
        <v>2</v>
      </c>
      <c r="AM99">
        <v>10</v>
      </c>
      <c r="AN99">
        <v>2</v>
      </c>
      <c r="AO99">
        <v>9</v>
      </c>
      <c r="AP99">
        <v>8</v>
      </c>
      <c r="AQ99">
        <v>3</v>
      </c>
      <c r="AR99">
        <v>8</v>
      </c>
    </row>
    <row r="100" spans="1:44" x14ac:dyDescent="0.3">
      <c r="A100" t="s">
        <v>56</v>
      </c>
      <c r="B100" t="s">
        <v>45</v>
      </c>
      <c r="C100" t="s">
        <v>92</v>
      </c>
      <c r="D100" t="s">
        <v>59</v>
      </c>
      <c r="E100" t="s">
        <v>48</v>
      </c>
      <c r="F100" t="s">
        <v>66</v>
      </c>
      <c r="G100" t="s">
        <v>180</v>
      </c>
      <c r="H100">
        <v>128</v>
      </c>
      <c r="I100" t="s">
        <v>51</v>
      </c>
      <c r="J100" t="s">
        <v>52</v>
      </c>
      <c r="K100" t="s">
        <v>64</v>
      </c>
      <c r="L100" t="s">
        <v>56</v>
      </c>
      <c r="M100" t="s">
        <v>54</v>
      </c>
      <c r="N100">
        <v>2</v>
      </c>
      <c r="O100">
        <v>-2</v>
      </c>
      <c r="P100">
        <v>0</v>
      </c>
      <c r="Q100">
        <v>24</v>
      </c>
      <c r="R100">
        <v>0</v>
      </c>
      <c r="T100">
        <v>0</v>
      </c>
      <c r="U100">
        <v>1</v>
      </c>
      <c r="V100">
        <v>1353</v>
      </c>
      <c r="W100">
        <v>3</v>
      </c>
      <c r="X100" t="s">
        <v>55</v>
      </c>
      <c r="Y100">
        <v>1</v>
      </c>
      <c r="Z100">
        <v>1</v>
      </c>
      <c r="AA100">
        <v>33</v>
      </c>
      <c r="AB100">
        <v>3</v>
      </c>
      <c r="AC100">
        <v>2</v>
      </c>
      <c r="AD100">
        <v>3</v>
      </c>
      <c r="AE100">
        <v>4999</v>
      </c>
      <c r="AF100">
        <v>17519</v>
      </c>
      <c r="AG100">
        <v>0</v>
      </c>
      <c r="AH100">
        <v>21</v>
      </c>
      <c r="AI100">
        <v>4</v>
      </c>
      <c r="AJ100">
        <v>1</v>
      </c>
      <c r="AK100">
        <v>80</v>
      </c>
      <c r="AL100">
        <v>1</v>
      </c>
      <c r="AM100">
        <v>4</v>
      </c>
      <c r="AN100">
        <v>2</v>
      </c>
      <c r="AO100">
        <v>3</v>
      </c>
      <c r="AP100">
        <v>2</v>
      </c>
      <c r="AQ100">
        <v>0</v>
      </c>
      <c r="AR100">
        <v>2</v>
      </c>
    </row>
    <row r="101" spans="1:44" x14ac:dyDescent="0.3">
      <c r="A101" t="s">
        <v>56</v>
      </c>
      <c r="B101" t="s">
        <v>45</v>
      </c>
      <c r="C101" t="s">
        <v>58</v>
      </c>
      <c r="D101" t="s">
        <v>59</v>
      </c>
      <c r="E101" t="s">
        <v>60</v>
      </c>
      <c r="F101" t="s">
        <v>49</v>
      </c>
      <c r="G101" t="s">
        <v>1134</v>
      </c>
      <c r="H101">
        <v>1969</v>
      </c>
      <c r="I101" t="s">
        <v>51</v>
      </c>
      <c r="J101" t="s">
        <v>63</v>
      </c>
      <c r="K101" t="s">
        <v>64</v>
      </c>
      <c r="L101" t="s">
        <v>56</v>
      </c>
      <c r="M101" t="s">
        <v>54</v>
      </c>
      <c r="N101">
        <v>6</v>
      </c>
      <c r="O101">
        <v>-2</v>
      </c>
      <c r="P101">
        <v>0</v>
      </c>
      <c r="Q101">
        <v>54</v>
      </c>
      <c r="R101">
        <v>0</v>
      </c>
      <c r="T101">
        <v>0</v>
      </c>
      <c r="U101">
        <v>1</v>
      </c>
      <c r="V101">
        <v>155</v>
      </c>
      <c r="W101">
        <v>9</v>
      </c>
      <c r="X101" t="s">
        <v>55</v>
      </c>
      <c r="Y101">
        <v>1</v>
      </c>
      <c r="Z101">
        <v>1</v>
      </c>
      <c r="AA101">
        <v>67</v>
      </c>
      <c r="AB101">
        <v>3</v>
      </c>
      <c r="AC101">
        <v>2</v>
      </c>
      <c r="AD101">
        <v>3</v>
      </c>
      <c r="AE101">
        <v>2897</v>
      </c>
      <c r="AF101">
        <v>22474</v>
      </c>
      <c r="AG101">
        <v>3</v>
      </c>
      <c r="AH101">
        <v>11</v>
      </c>
      <c r="AI101">
        <v>3</v>
      </c>
      <c r="AJ101">
        <v>3</v>
      </c>
      <c r="AK101">
        <v>80</v>
      </c>
      <c r="AL101">
        <v>2</v>
      </c>
      <c r="AM101">
        <v>9</v>
      </c>
      <c r="AN101">
        <v>2</v>
      </c>
      <c r="AO101">
        <v>4</v>
      </c>
      <c r="AP101">
        <v>3</v>
      </c>
      <c r="AQ101">
        <v>2</v>
      </c>
      <c r="AR101">
        <v>3</v>
      </c>
    </row>
    <row r="102" spans="1:44" x14ac:dyDescent="0.3">
      <c r="A102" t="s">
        <v>56</v>
      </c>
      <c r="B102" t="s">
        <v>45</v>
      </c>
      <c r="C102" t="s">
        <v>46</v>
      </c>
      <c r="D102" t="s">
        <v>59</v>
      </c>
      <c r="E102" t="s">
        <v>60</v>
      </c>
      <c r="F102" t="s">
        <v>72</v>
      </c>
      <c r="G102" t="s">
        <v>1129</v>
      </c>
      <c r="H102">
        <v>1687</v>
      </c>
      <c r="I102" t="s">
        <v>51</v>
      </c>
      <c r="J102" t="s">
        <v>68</v>
      </c>
      <c r="K102" t="s">
        <v>64</v>
      </c>
      <c r="L102" t="s">
        <v>56</v>
      </c>
      <c r="M102" t="s">
        <v>54</v>
      </c>
      <c r="N102">
        <v>5</v>
      </c>
      <c r="O102">
        <v>-2</v>
      </c>
      <c r="P102">
        <v>0</v>
      </c>
      <c r="Q102">
        <v>38</v>
      </c>
      <c r="R102">
        <v>0</v>
      </c>
      <c r="T102">
        <v>0</v>
      </c>
      <c r="U102">
        <v>1</v>
      </c>
      <c r="V102">
        <v>1495</v>
      </c>
      <c r="W102">
        <v>4</v>
      </c>
      <c r="X102" t="s">
        <v>55</v>
      </c>
      <c r="Y102">
        <v>1</v>
      </c>
      <c r="Z102">
        <v>4</v>
      </c>
      <c r="AA102">
        <v>87</v>
      </c>
      <c r="AB102">
        <v>3</v>
      </c>
      <c r="AC102">
        <v>1</v>
      </c>
      <c r="AD102">
        <v>3</v>
      </c>
      <c r="AE102">
        <v>3306</v>
      </c>
      <c r="AF102">
        <v>26176</v>
      </c>
      <c r="AG102">
        <v>7</v>
      </c>
      <c r="AH102">
        <v>19</v>
      </c>
      <c r="AI102">
        <v>3</v>
      </c>
      <c r="AJ102">
        <v>4</v>
      </c>
      <c r="AK102">
        <v>80</v>
      </c>
      <c r="AL102">
        <v>1</v>
      </c>
      <c r="AM102">
        <v>7</v>
      </c>
      <c r="AN102">
        <v>2</v>
      </c>
      <c r="AO102">
        <v>0</v>
      </c>
      <c r="AP102">
        <v>0</v>
      </c>
      <c r="AQ102">
        <v>0</v>
      </c>
      <c r="AR102">
        <v>0</v>
      </c>
    </row>
    <row r="103" spans="1:44" x14ac:dyDescent="0.3">
      <c r="A103" t="s">
        <v>56</v>
      </c>
      <c r="B103" t="s">
        <v>45</v>
      </c>
      <c r="C103" t="s">
        <v>46</v>
      </c>
      <c r="D103" t="s">
        <v>59</v>
      </c>
      <c r="E103" t="s">
        <v>60</v>
      </c>
      <c r="F103" t="s">
        <v>66</v>
      </c>
      <c r="G103" t="s">
        <v>1128</v>
      </c>
      <c r="H103">
        <v>1782</v>
      </c>
      <c r="I103" t="s">
        <v>51</v>
      </c>
      <c r="J103" t="s">
        <v>68</v>
      </c>
      <c r="K103" t="s">
        <v>64</v>
      </c>
      <c r="L103" t="s">
        <v>56</v>
      </c>
      <c r="M103" t="s">
        <v>54</v>
      </c>
      <c r="N103">
        <v>3</v>
      </c>
      <c r="O103">
        <v>-2</v>
      </c>
      <c r="P103">
        <v>0</v>
      </c>
      <c r="Q103">
        <v>38</v>
      </c>
      <c r="R103">
        <v>0</v>
      </c>
      <c r="T103">
        <v>0</v>
      </c>
      <c r="U103">
        <v>1</v>
      </c>
      <c r="V103">
        <v>1153</v>
      </c>
      <c r="W103">
        <v>6</v>
      </c>
      <c r="X103" t="s">
        <v>55</v>
      </c>
      <c r="Y103">
        <v>1</v>
      </c>
      <c r="Z103">
        <v>4</v>
      </c>
      <c r="AA103">
        <v>40</v>
      </c>
      <c r="AB103">
        <v>2</v>
      </c>
      <c r="AC103">
        <v>1</v>
      </c>
      <c r="AD103">
        <v>3</v>
      </c>
      <c r="AE103">
        <v>3702</v>
      </c>
      <c r="AF103">
        <v>16376</v>
      </c>
      <c r="AG103">
        <v>1</v>
      </c>
      <c r="AH103">
        <v>11</v>
      </c>
      <c r="AI103">
        <v>3</v>
      </c>
      <c r="AJ103">
        <v>2</v>
      </c>
      <c r="AK103">
        <v>80</v>
      </c>
      <c r="AL103">
        <v>1</v>
      </c>
      <c r="AM103">
        <v>5</v>
      </c>
      <c r="AN103">
        <v>3</v>
      </c>
      <c r="AO103">
        <v>5</v>
      </c>
      <c r="AP103">
        <v>4</v>
      </c>
      <c r="AQ103">
        <v>0</v>
      </c>
      <c r="AR103">
        <v>4</v>
      </c>
    </row>
    <row r="104" spans="1:44" x14ac:dyDescent="0.3">
      <c r="A104" t="s">
        <v>56</v>
      </c>
      <c r="B104" t="s">
        <v>45</v>
      </c>
      <c r="C104" t="s">
        <v>69</v>
      </c>
      <c r="D104" t="s">
        <v>59</v>
      </c>
      <c r="E104" t="s">
        <v>60</v>
      </c>
      <c r="F104" t="s">
        <v>49</v>
      </c>
      <c r="G104" t="s">
        <v>1127</v>
      </c>
      <c r="H104">
        <v>1555</v>
      </c>
      <c r="I104" t="s">
        <v>51</v>
      </c>
      <c r="J104" t="s">
        <v>63</v>
      </c>
      <c r="K104" t="s">
        <v>64</v>
      </c>
      <c r="L104" t="s">
        <v>56</v>
      </c>
      <c r="M104" t="s">
        <v>54</v>
      </c>
      <c r="N104">
        <v>2</v>
      </c>
      <c r="O104">
        <v>-2</v>
      </c>
      <c r="P104">
        <v>0</v>
      </c>
      <c r="Q104">
        <v>32</v>
      </c>
      <c r="R104">
        <v>0</v>
      </c>
      <c r="T104">
        <v>0</v>
      </c>
      <c r="U104">
        <v>1</v>
      </c>
      <c r="V104">
        <v>824</v>
      </c>
      <c r="W104">
        <v>5</v>
      </c>
      <c r="X104" t="s">
        <v>55</v>
      </c>
      <c r="Y104">
        <v>1</v>
      </c>
      <c r="Z104">
        <v>4</v>
      </c>
      <c r="AA104">
        <v>67</v>
      </c>
      <c r="AB104">
        <v>2</v>
      </c>
      <c r="AC104">
        <v>2</v>
      </c>
      <c r="AD104">
        <v>2</v>
      </c>
      <c r="AE104">
        <v>5878</v>
      </c>
      <c r="AF104">
        <v>15624</v>
      </c>
      <c r="AG104">
        <v>3</v>
      </c>
      <c r="AH104">
        <v>12</v>
      </c>
      <c r="AI104">
        <v>3</v>
      </c>
      <c r="AJ104">
        <v>1</v>
      </c>
      <c r="AK104">
        <v>80</v>
      </c>
      <c r="AL104">
        <v>1</v>
      </c>
      <c r="AM104">
        <v>12</v>
      </c>
      <c r="AN104">
        <v>3</v>
      </c>
      <c r="AO104">
        <v>7</v>
      </c>
      <c r="AP104">
        <v>1</v>
      </c>
      <c r="AQ104">
        <v>2</v>
      </c>
      <c r="AR104">
        <v>5</v>
      </c>
    </row>
    <row r="105" spans="1:44" x14ac:dyDescent="0.3">
      <c r="A105" t="s">
        <v>56</v>
      </c>
      <c r="B105" t="s">
        <v>45</v>
      </c>
      <c r="C105" t="s">
        <v>46</v>
      </c>
      <c r="D105" t="s">
        <v>59</v>
      </c>
      <c r="E105" t="s">
        <v>60</v>
      </c>
      <c r="F105" t="s">
        <v>49</v>
      </c>
      <c r="G105" t="s">
        <v>1123</v>
      </c>
      <c r="H105">
        <v>1802</v>
      </c>
      <c r="I105" t="s">
        <v>51</v>
      </c>
      <c r="J105" t="s">
        <v>68</v>
      </c>
      <c r="K105" t="s">
        <v>64</v>
      </c>
      <c r="L105" t="s">
        <v>56</v>
      </c>
      <c r="M105" t="s">
        <v>54</v>
      </c>
      <c r="N105">
        <v>5</v>
      </c>
      <c r="O105">
        <v>-2</v>
      </c>
      <c r="P105">
        <v>0</v>
      </c>
      <c r="Q105">
        <v>40</v>
      </c>
      <c r="R105">
        <v>0</v>
      </c>
      <c r="T105">
        <v>0</v>
      </c>
      <c r="U105">
        <v>1</v>
      </c>
      <c r="V105">
        <v>616</v>
      </c>
      <c r="W105">
        <v>2</v>
      </c>
      <c r="X105" t="s">
        <v>55</v>
      </c>
      <c r="Y105">
        <v>1</v>
      </c>
      <c r="Z105">
        <v>3</v>
      </c>
      <c r="AA105">
        <v>99</v>
      </c>
      <c r="AB105">
        <v>3</v>
      </c>
      <c r="AC105">
        <v>1</v>
      </c>
      <c r="AD105">
        <v>3</v>
      </c>
      <c r="AE105">
        <v>3377</v>
      </c>
      <c r="AF105">
        <v>25605</v>
      </c>
      <c r="AG105">
        <v>4</v>
      </c>
      <c r="AH105">
        <v>17</v>
      </c>
      <c r="AI105">
        <v>3</v>
      </c>
      <c r="AJ105">
        <v>4</v>
      </c>
      <c r="AK105">
        <v>80</v>
      </c>
      <c r="AL105">
        <v>1</v>
      </c>
      <c r="AM105">
        <v>7</v>
      </c>
      <c r="AN105">
        <v>2</v>
      </c>
      <c r="AO105">
        <v>4</v>
      </c>
      <c r="AP105">
        <v>3</v>
      </c>
      <c r="AQ105">
        <v>0</v>
      </c>
      <c r="AR105">
        <v>2</v>
      </c>
    </row>
    <row r="106" spans="1:44" x14ac:dyDescent="0.3">
      <c r="A106" t="s">
        <v>56</v>
      </c>
      <c r="B106" t="s">
        <v>45</v>
      </c>
      <c r="C106" t="s">
        <v>58</v>
      </c>
      <c r="D106" t="s">
        <v>59</v>
      </c>
      <c r="E106" t="s">
        <v>60</v>
      </c>
      <c r="F106" t="s">
        <v>66</v>
      </c>
      <c r="G106" t="s">
        <v>1111</v>
      </c>
      <c r="H106">
        <v>1635</v>
      </c>
      <c r="I106" t="s">
        <v>51</v>
      </c>
      <c r="J106" t="s">
        <v>81</v>
      </c>
      <c r="K106" t="s">
        <v>79</v>
      </c>
      <c r="L106" t="s">
        <v>56</v>
      </c>
      <c r="M106" t="s">
        <v>54</v>
      </c>
      <c r="N106">
        <v>3</v>
      </c>
      <c r="O106">
        <v>-2</v>
      </c>
      <c r="P106">
        <v>0</v>
      </c>
      <c r="Q106">
        <v>45</v>
      </c>
      <c r="R106">
        <v>0</v>
      </c>
      <c r="T106">
        <v>0</v>
      </c>
      <c r="U106">
        <v>1</v>
      </c>
      <c r="V106">
        <v>1329</v>
      </c>
      <c r="W106">
        <v>2</v>
      </c>
      <c r="X106" t="s">
        <v>55</v>
      </c>
      <c r="Y106">
        <v>1</v>
      </c>
      <c r="Z106">
        <v>4</v>
      </c>
      <c r="AA106">
        <v>59</v>
      </c>
      <c r="AB106">
        <v>2</v>
      </c>
      <c r="AC106">
        <v>2</v>
      </c>
      <c r="AD106">
        <v>4</v>
      </c>
      <c r="AE106">
        <v>5770</v>
      </c>
      <c r="AF106">
        <v>5388</v>
      </c>
      <c r="AG106">
        <v>1</v>
      </c>
      <c r="AH106">
        <v>19</v>
      </c>
      <c r="AI106">
        <v>3</v>
      </c>
      <c r="AJ106">
        <v>1</v>
      </c>
      <c r="AK106">
        <v>80</v>
      </c>
      <c r="AL106">
        <v>2</v>
      </c>
      <c r="AM106">
        <v>10</v>
      </c>
      <c r="AN106">
        <v>3</v>
      </c>
      <c r="AO106">
        <v>10</v>
      </c>
      <c r="AP106">
        <v>7</v>
      </c>
      <c r="AQ106">
        <v>3</v>
      </c>
      <c r="AR106">
        <v>9</v>
      </c>
    </row>
    <row r="107" spans="1:44" x14ac:dyDescent="0.3">
      <c r="A107" t="s">
        <v>56</v>
      </c>
      <c r="B107" t="s">
        <v>45</v>
      </c>
      <c r="C107" t="s">
        <v>69</v>
      </c>
      <c r="D107" t="s">
        <v>59</v>
      </c>
      <c r="E107" t="s">
        <v>161</v>
      </c>
      <c r="F107" t="s">
        <v>72</v>
      </c>
      <c r="G107" t="s">
        <v>1105</v>
      </c>
      <c r="H107">
        <v>1461</v>
      </c>
      <c r="I107" t="s">
        <v>51</v>
      </c>
      <c r="J107" t="s">
        <v>163</v>
      </c>
      <c r="K107" t="s">
        <v>53</v>
      </c>
      <c r="L107" t="s">
        <v>56</v>
      </c>
      <c r="M107" t="s">
        <v>54</v>
      </c>
      <c r="N107">
        <v>3</v>
      </c>
      <c r="O107">
        <v>-2</v>
      </c>
      <c r="P107">
        <v>0</v>
      </c>
      <c r="Q107">
        <v>31</v>
      </c>
      <c r="R107">
        <v>0</v>
      </c>
      <c r="T107">
        <v>0</v>
      </c>
      <c r="U107">
        <v>1</v>
      </c>
      <c r="V107">
        <v>1398</v>
      </c>
      <c r="W107">
        <v>8</v>
      </c>
      <c r="X107" t="s">
        <v>55</v>
      </c>
      <c r="Y107">
        <v>1</v>
      </c>
      <c r="Z107">
        <v>4</v>
      </c>
      <c r="AA107">
        <v>96</v>
      </c>
      <c r="AB107">
        <v>4</v>
      </c>
      <c r="AC107">
        <v>1</v>
      </c>
      <c r="AD107">
        <v>2</v>
      </c>
      <c r="AE107">
        <v>2109</v>
      </c>
      <c r="AF107">
        <v>24609</v>
      </c>
      <c r="AG107">
        <v>9</v>
      </c>
      <c r="AH107">
        <v>18</v>
      </c>
      <c r="AI107">
        <v>3</v>
      </c>
      <c r="AJ107">
        <v>4</v>
      </c>
      <c r="AK107">
        <v>80</v>
      </c>
      <c r="AL107">
        <v>0</v>
      </c>
      <c r="AM107">
        <v>8</v>
      </c>
      <c r="AN107">
        <v>3</v>
      </c>
      <c r="AO107">
        <v>3</v>
      </c>
      <c r="AP107">
        <v>2</v>
      </c>
      <c r="AQ107">
        <v>0</v>
      </c>
      <c r="AR107">
        <v>2</v>
      </c>
    </row>
    <row r="108" spans="1:44" x14ac:dyDescent="0.3">
      <c r="A108" t="s">
        <v>56</v>
      </c>
      <c r="B108" t="s">
        <v>91</v>
      </c>
      <c r="C108" t="s">
        <v>46</v>
      </c>
      <c r="D108" t="s">
        <v>59</v>
      </c>
      <c r="E108" t="s">
        <v>60</v>
      </c>
      <c r="F108" t="s">
        <v>49</v>
      </c>
      <c r="G108" t="s">
        <v>188</v>
      </c>
      <c r="H108">
        <v>139</v>
      </c>
      <c r="I108" t="s">
        <v>62</v>
      </c>
      <c r="J108" t="s">
        <v>83</v>
      </c>
      <c r="K108" t="s">
        <v>79</v>
      </c>
      <c r="L108" t="s">
        <v>56</v>
      </c>
      <c r="M108" t="s">
        <v>54</v>
      </c>
      <c r="N108">
        <v>2</v>
      </c>
      <c r="O108">
        <v>-2</v>
      </c>
      <c r="P108">
        <v>0</v>
      </c>
      <c r="Q108">
        <v>37</v>
      </c>
      <c r="R108">
        <v>0</v>
      </c>
      <c r="T108">
        <v>0</v>
      </c>
      <c r="U108">
        <v>1</v>
      </c>
      <c r="V108">
        <v>1040</v>
      </c>
      <c r="W108">
        <v>2</v>
      </c>
      <c r="X108" t="s">
        <v>55</v>
      </c>
      <c r="Y108">
        <v>1</v>
      </c>
      <c r="Z108">
        <v>3</v>
      </c>
      <c r="AA108">
        <v>100</v>
      </c>
      <c r="AB108">
        <v>2</v>
      </c>
      <c r="AC108">
        <v>2</v>
      </c>
      <c r="AD108">
        <v>2</v>
      </c>
      <c r="AE108">
        <v>5163</v>
      </c>
      <c r="AF108">
        <v>15850</v>
      </c>
      <c r="AG108">
        <v>5</v>
      </c>
      <c r="AH108">
        <v>14</v>
      </c>
      <c r="AI108">
        <v>3</v>
      </c>
      <c r="AJ108">
        <v>4</v>
      </c>
      <c r="AK108">
        <v>80</v>
      </c>
      <c r="AL108">
        <v>1</v>
      </c>
      <c r="AM108">
        <v>17</v>
      </c>
      <c r="AN108">
        <v>4</v>
      </c>
      <c r="AO108">
        <v>1</v>
      </c>
      <c r="AP108">
        <v>0</v>
      </c>
      <c r="AQ108">
        <v>0</v>
      </c>
      <c r="AR108">
        <v>0</v>
      </c>
    </row>
    <row r="109" spans="1:44" x14ac:dyDescent="0.3">
      <c r="A109" t="s">
        <v>56</v>
      </c>
      <c r="B109" t="s">
        <v>57</v>
      </c>
      <c r="C109" t="s">
        <v>46</v>
      </c>
      <c r="D109" t="s">
        <v>59</v>
      </c>
      <c r="E109" t="s">
        <v>60</v>
      </c>
      <c r="F109" t="s">
        <v>72</v>
      </c>
      <c r="G109" t="s">
        <v>1099</v>
      </c>
      <c r="H109">
        <v>1480</v>
      </c>
      <c r="I109" t="s">
        <v>51</v>
      </c>
      <c r="J109" t="s">
        <v>68</v>
      </c>
      <c r="K109" t="s">
        <v>53</v>
      </c>
      <c r="L109" t="s">
        <v>56</v>
      </c>
      <c r="M109" t="s">
        <v>54</v>
      </c>
      <c r="N109">
        <v>3</v>
      </c>
      <c r="O109">
        <v>-2</v>
      </c>
      <c r="P109">
        <v>0</v>
      </c>
      <c r="Q109">
        <v>42</v>
      </c>
      <c r="R109">
        <v>0</v>
      </c>
      <c r="T109">
        <v>0</v>
      </c>
      <c r="U109">
        <v>1</v>
      </c>
      <c r="V109">
        <v>748</v>
      </c>
      <c r="W109">
        <v>9</v>
      </c>
      <c r="X109" t="s">
        <v>55</v>
      </c>
      <c r="Y109">
        <v>1</v>
      </c>
      <c r="Z109">
        <v>1</v>
      </c>
      <c r="AA109">
        <v>74</v>
      </c>
      <c r="AB109">
        <v>3</v>
      </c>
      <c r="AC109">
        <v>1</v>
      </c>
      <c r="AD109">
        <v>4</v>
      </c>
      <c r="AE109">
        <v>3673</v>
      </c>
      <c r="AF109">
        <v>16458</v>
      </c>
      <c r="AG109">
        <v>1</v>
      </c>
      <c r="AH109">
        <v>13</v>
      </c>
      <c r="AI109">
        <v>3</v>
      </c>
      <c r="AJ109">
        <v>3</v>
      </c>
      <c r="AK109">
        <v>80</v>
      </c>
      <c r="AL109">
        <v>0</v>
      </c>
      <c r="AM109">
        <v>12</v>
      </c>
      <c r="AN109">
        <v>3</v>
      </c>
      <c r="AO109">
        <v>12</v>
      </c>
      <c r="AP109">
        <v>9</v>
      </c>
      <c r="AQ109">
        <v>5</v>
      </c>
      <c r="AR109">
        <v>8</v>
      </c>
    </row>
    <row r="110" spans="1:44" x14ac:dyDescent="0.3">
      <c r="A110" t="s">
        <v>56</v>
      </c>
      <c r="B110" t="s">
        <v>57</v>
      </c>
      <c r="C110" t="s">
        <v>46</v>
      </c>
      <c r="D110" t="s">
        <v>59</v>
      </c>
      <c r="E110" t="s">
        <v>60</v>
      </c>
      <c r="F110" t="s">
        <v>72</v>
      </c>
      <c r="G110" t="s">
        <v>1094</v>
      </c>
      <c r="H110">
        <v>1760</v>
      </c>
      <c r="I110" t="s">
        <v>51</v>
      </c>
      <c r="J110" t="s">
        <v>68</v>
      </c>
      <c r="K110" t="s">
        <v>64</v>
      </c>
      <c r="L110" t="s">
        <v>56</v>
      </c>
      <c r="M110" t="s">
        <v>54</v>
      </c>
      <c r="N110">
        <v>4</v>
      </c>
      <c r="O110">
        <v>-2</v>
      </c>
      <c r="P110">
        <v>0</v>
      </c>
      <c r="Q110">
        <v>38</v>
      </c>
      <c r="R110">
        <v>0</v>
      </c>
      <c r="T110">
        <v>0</v>
      </c>
      <c r="U110">
        <v>1</v>
      </c>
      <c r="V110">
        <v>594</v>
      </c>
      <c r="W110">
        <v>2</v>
      </c>
      <c r="X110" t="s">
        <v>55</v>
      </c>
      <c r="Y110">
        <v>1</v>
      </c>
      <c r="Z110">
        <v>3</v>
      </c>
      <c r="AA110">
        <v>75</v>
      </c>
      <c r="AB110">
        <v>2</v>
      </c>
      <c r="AC110">
        <v>1</v>
      </c>
      <c r="AD110">
        <v>2</v>
      </c>
      <c r="AE110">
        <v>2468</v>
      </c>
      <c r="AF110">
        <v>15963</v>
      </c>
      <c r="AG110">
        <v>4</v>
      </c>
      <c r="AH110">
        <v>14</v>
      </c>
      <c r="AI110">
        <v>3</v>
      </c>
      <c r="AJ110">
        <v>2</v>
      </c>
      <c r="AK110">
        <v>80</v>
      </c>
      <c r="AL110">
        <v>1</v>
      </c>
      <c r="AM110">
        <v>9</v>
      </c>
      <c r="AN110">
        <v>2</v>
      </c>
      <c r="AO110">
        <v>6</v>
      </c>
      <c r="AP110">
        <v>1</v>
      </c>
      <c r="AQ110">
        <v>0</v>
      </c>
      <c r="AR110">
        <v>5</v>
      </c>
    </row>
    <row r="111" spans="1:44" x14ac:dyDescent="0.3">
      <c r="A111" t="s">
        <v>56</v>
      </c>
      <c r="B111" t="s">
        <v>57</v>
      </c>
      <c r="C111" t="s">
        <v>46</v>
      </c>
      <c r="D111" t="s">
        <v>59</v>
      </c>
      <c r="E111" t="s">
        <v>60</v>
      </c>
      <c r="F111" t="s">
        <v>49</v>
      </c>
      <c r="G111" t="s">
        <v>1093</v>
      </c>
      <c r="H111">
        <v>2025</v>
      </c>
      <c r="I111" t="s">
        <v>51</v>
      </c>
      <c r="J111" t="s">
        <v>81</v>
      </c>
      <c r="K111" t="s">
        <v>79</v>
      </c>
      <c r="L111" t="s">
        <v>56</v>
      </c>
      <c r="M111" t="s">
        <v>54</v>
      </c>
      <c r="N111">
        <v>3</v>
      </c>
      <c r="O111">
        <v>-2</v>
      </c>
      <c r="P111">
        <v>0</v>
      </c>
      <c r="Q111">
        <v>36</v>
      </c>
      <c r="R111">
        <v>0</v>
      </c>
      <c r="T111">
        <v>0</v>
      </c>
      <c r="U111">
        <v>1</v>
      </c>
      <c r="V111">
        <v>688</v>
      </c>
      <c r="W111">
        <v>4</v>
      </c>
      <c r="X111" t="s">
        <v>55</v>
      </c>
      <c r="Y111">
        <v>1</v>
      </c>
      <c r="Z111">
        <v>4</v>
      </c>
      <c r="AA111">
        <v>97</v>
      </c>
      <c r="AB111">
        <v>3</v>
      </c>
      <c r="AC111">
        <v>2</v>
      </c>
      <c r="AD111">
        <v>2</v>
      </c>
      <c r="AE111">
        <v>5131</v>
      </c>
      <c r="AF111">
        <v>9192</v>
      </c>
      <c r="AG111">
        <v>7</v>
      </c>
      <c r="AH111">
        <v>13</v>
      </c>
      <c r="AI111">
        <v>3</v>
      </c>
      <c r="AJ111">
        <v>2</v>
      </c>
      <c r="AK111">
        <v>80</v>
      </c>
      <c r="AL111">
        <v>3</v>
      </c>
      <c r="AM111">
        <v>18</v>
      </c>
      <c r="AN111">
        <v>3</v>
      </c>
      <c r="AO111">
        <v>4</v>
      </c>
      <c r="AP111">
        <v>2</v>
      </c>
      <c r="AQ111">
        <v>0</v>
      </c>
      <c r="AR111">
        <v>2</v>
      </c>
    </row>
    <row r="112" spans="1:44" x14ac:dyDescent="0.3">
      <c r="A112" t="s">
        <v>56</v>
      </c>
      <c r="B112" t="s">
        <v>91</v>
      </c>
      <c r="C112" t="s">
        <v>92</v>
      </c>
      <c r="D112" t="s">
        <v>59</v>
      </c>
      <c r="E112" t="s">
        <v>48</v>
      </c>
      <c r="F112" t="s">
        <v>49</v>
      </c>
      <c r="G112" t="s">
        <v>1090</v>
      </c>
      <c r="H112">
        <v>1495</v>
      </c>
      <c r="I112" t="s">
        <v>51</v>
      </c>
      <c r="J112" t="s">
        <v>99</v>
      </c>
      <c r="K112" t="s">
        <v>64</v>
      </c>
      <c r="L112" t="s">
        <v>56</v>
      </c>
      <c r="M112" t="s">
        <v>54</v>
      </c>
      <c r="N112">
        <v>2</v>
      </c>
      <c r="O112">
        <v>-2</v>
      </c>
      <c r="P112">
        <v>0</v>
      </c>
      <c r="Q112">
        <v>24</v>
      </c>
      <c r="R112">
        <v>0</v>
      </c>
      <c r="T112">
        <v>0</v>
      </c>
      <c r="U112">
        <v>1</v>
      </c>
      <c r="V112">
        <v>830</v>
      </c>
      <c r="W112">
        <v>13</v>
      </c>
      <c r="X112" t="s">
        <v>55</v>
      </c>
      <c r="Y112">
        <v>1</v>
      </c>
      <c r="Z112">
        <v>4</v>
      </c>
      <c r="AA112">
        <v>78</v>
      </c>
      <c r="AB112">
        <v>3</v>
      </c>
      <c r="AC112">
        <v>1</v>
      </c>
      <c r="AD112">
        <v>2</v>
      </c>
      <c r="AE112">
        <v>2033</v>
      </c>
      <c r="AF112">
        <v>7103</v>
      </c>
      <c r="AG112">
        <v>1</v>
      </c>
      <c r="AH112">
        <v>13</v>
      </c>
      <c r="AI112">
        <v>3</v>
      </c>
      <c r="AJ112">
        <v>3</v>
      </c>
      <c r="AK112">
        <v>80</v>
      </c>
      <c r="AL112">
        <v>1</v>
      </c>
      <c r="AM112">
        <v>1</v>
      </c>
      <c r="AN112">
        <v>3</v>
      </c>
      <c r="AO112">
        <v>1</v>
      </c>
      <c r="AP112">
        <v>0</v>
      </c>
      <c r="AQ112">
        <v>0</v>
      </c>
      <c r="AR112">
        <v>0</v>
      </c>
    </row>
    <row r="113" spans="1:44" x14ac:dyDescent="0.3">
      <c r="A113" t="s">
        <v>56</v>
      </c>
      <c r="B113" t="s">
        <v>57</v>
      </c>
      <c r="C113" t="s">
        <v>58</v>
      </c>
      <c r="D113" t="s">
        <v>59</v>
      </c>
      <c r="E113" t="s">
        <v>60</v>
      </c>
      <c r="F113" t="s">
        <v>72</v>
      </c>
      <c r="G113" t="s">
        <v>1078</v>
      </c>
      <c r="H113">
        <v>1401</v>
      </c>
      <c r="I113" t="s">
        <v>51</v>
      </c>
      <c r="J113" t="s">
        <v>81</v>
      </c>
      <c r="K113" t="s">
        <v>64</v>
      </c>
      <c r="L113" t="s">
        <v>44</v>
      </c>
      <c r="M113" t="s">
        <v>54</v>
      </c>
      <c r="N113">
        <v>3</v>
      </c>
      <c r="O113">
        <v>-2</v>
      </c>
      <c r="P113">
        <v>0</v>
      </c>
      <c r="Q113">
        <v>52</v>
      </c>
      <c r="R113">
        <v>0</v>
      </c>
      <c r="T113">
        <v>0</v>
      </c>
      <c r="U113">
        <v>1</v>
      </c>
      <c r="V113">
        <v>322</v>
      </c>
      <c r="W113">
        <v>28</v>
      </c>
      <c r="X113" t="s">
        <v>55</v>
      </c>
      <c r="Y113">
        <v>1</v>
      </c>
      <c r="Z113">
        <v>4</v>
      </c>
      <c r="AA113">
        <v>59</v>
      </c>
      <c r="AB113">
        <v>4</v>
      </c>
      <c r="AC113">
        <v>4</v>
      </c>
      <c r="AD113">
        <v>3</v>
      </c>
      <c r="AE113">
        <v>13247</v>
      </c>
      <c r="AF113">
        <v>9731</v>
      </c>
      <c r="AG113">
        <v>2</v>
      </c>
      <c r="AH113">
        <v>11</v>
      </c>
      <c r="AI113">
        <v>3</v>
      </c>
      <c r="AJ113">
        <v>2</v>
      </c>
      <c r="AK113">
        <v>80</v>
      </c>
      <c r="AL113">
        <v>1</v>
      </c>
      <c r="AM113">
        <v>24</v>
      </c>
      <c r="AN113">
        <v>2</v>
      </c>
      <c r="AO113">
        <v>5</v>
      </c>
      <c r="AP113">
        <v>3</v>
      </c>
      <c r="AQ113">
        <v>0</v>
      </c>
      <c r="AR113">
        <v>2</v>
      </c>
    </row>
    <row r="114" spans="1:44" x14ac:dyDescent="0.3">
      <c r="A114" t="s">
        <v>56</v>
      </c>
      <c r="B114" t="s">
        <v>91</v>
      </c>
      <c r="C114" t="s">
        <v>46</v>
      </c>
      <c r="D114" t="s">
        <v>59</v>
      </c>
      <c r="E114" t="s">
        <v>60</v>
      </c>
      <c r="F114" t="s">
        <v>49</v>
      </c>
      <c r="G114" t="s">
        <v>1076</v>
      </c>
      <c r="H114">
        <v>1397</v>
      </c>
      <c r="I114" t="s">
        <v>62</v>
      </c>
      <c r="J114" t="s">
        <v>83</v>
      </c>
      <c r="K114" t="s">
        <v>64</v>
      </c>
      <c r="L114" t="s">
        <v>56</v>
      </c>
      <c r="M114" t="s">
        <v>54</v>
      </c>
      <c r="N114">
        <v>2</v>
      </c>
      <c r="O114">
        <v>-2</v>
      </c>
      <c r="P114">
        <v>0</v>
      </c>
      <c r="Q114">
        <v>39</v>
      </c>
      <c r="R114">
        <v>0</v>
      </c>
      <c r="T114">
        <v>0</v>
      </c>
      <c r="U114">
        <v>1</v>
      </c>
      <c r="V114">
        <v>1485</v>
      </c>
      <c r="W114">
        <v>25</v>
      </c>
      <c r="X114" t="s">
        <v>55</v>
      </c>
      <c r="Y114">
        <v>1</v>
      </c>
      <c r="Z114">
        <v>3</v>
      </c>
      <c r="AA114">
        <v>71</v>
      </c>
      <c r="AB114">
        <v>3</v>
      </c>
      <c r="AC114">
        <v>3</v>
      </c>
      <c r="AD114">
        <v>3</v>
      </c>
      <c r="AE114">
        <v>10920</v>
      </c>
      <c r="AF114">
        <v>3449</v>
      </c>
      <c r="AG114">
        <v>3</v>
      </c>
      <c r="AH114">
        <v>21</v>
      </c>
      <c r="AI114">
        <v>4</v>
      </c>
      <c r="AJ114">
        <v>2</v>
      </c>
      <c r="AK114">
        <v>80</v>
      </c>
      <c r="AL114">
        <v>1</v>
      </c>
      <c r="AM114">
        <v>13</v>
      </c>
      <c r="AN114">
        <v>3</v>
      </c>
      <c r="AO114">
        <v>6</v>
      </c>
      <c r="AP114">
        <v>4</v>
      </c>
      <c r="AQ114">
        <v>0</v>
      </c>
      <c r="AR114">
        <v>5</v>
      </c>
    </row>
    <row r="115" spans="1:44" x14ac:dyDescent="0.3">
      <c r="A115" t="s">
        <v>56</v>
      </c>
      <c r="B115" t="s">
        <v>45</v>
      </c>
      <c r="C115" t="s">
        <v>58</v>
      </c>
      <c r="D115" t="s">
        <v>59</v>
      </c>
      <c r="E115" t="s">
        <v>60</v>
      </c>
      <c r="F115" t="s">
        <v>113</v>
      </c>
      <c r="G115" t="s">
        <v>1055</v>
      </c>
      <c r="H115">
        <v>1367</v>
      </c>
      <c r="I115" t="s">
        <v>51</v>
      </c>
      <c r="J115" t="s">
        <v>81</v>
      </c>
      <c r="K115" t="s">
        <v>53</v>
      </c>
      <c r="L115" t="s">
        <v>56</v>
      </c>
      <c r="M115" t="s">
        <v>54</v>
      </c>
      <c r="N115">
        <v>1</v>
      </c>
      <c r="O115">
        <v>-2</v>
      </c>
      <c r="P115">
        <v>0</v>
      </c>
      <c r="Q115">
        <v>51</v>
      </c>
      <c r="R115">
        <v>0</v>
      </c>
      <c r="T115">
        <v>0</v>
      </c>
      <c r="U115">
        <v>1</v>
      </c>
      <c r="V115">
        <v>1405</v>
      </c>
      <c r="W115">
        <v>11</v>
      </c>
      <c r="X115" t="s">
        <v>55</v>
      </c>
      <c r="Y115">
        <v>1</v>
      </c>
      <c r="Z115">
        <v>4</v>
      </c>
      <c r="AA115">
        <v>82</v>
      </c>
      <c r="AB115">
        <v>2</v>
      </c>
      <c r="AC115">
        <v>4</v>
      </c>
      <c r="AD115">
        <v>4</v>
      </c>
      <c r="AE115">
        <v>13142</v>
      </c>
      <c r="AF115">
        <v>24439</v>
      </c>
      <c r="AG115">
        <v>3</v>
      </c>
      <c r="AH115">
        <v>16</v>
      </c>
      <c r="AI115">
        <v>3</v>
      </c>
      <c r="AJ115">
        <v>2</v>
      </c>
      <c r="AK115">
        <v>80</v>
      </c>
      <c r="AL115">
        <v>0</v>
      </c>
      <c r="AM115">
        <v>29</v>
      </c>
      <c r="AN115">
        <v>2</v>
      </c>
      <c r="AO115">
        <v>5</v>
      </c>
      <c r="AP115">
        <v>2</v>
      </c>
      <c r="AQ115">
        <v>0</v>
      </c>
      <c r="AR115">
        <v>3</v>
      </c>
    </row>
    <row r="116" spans="1:44" x14ac:dyDescent="0.3">
      <c r="A116" t="s">
        <v>56</v>
      </c>
      <c r="B116" t="s">
        <v>45</v>
      </c>
      <c r="C116" t="s">
        <v>69</v>
      </c>
      <c r="D116" t="s">
        <v>59</v>
      </c>
      <c r="E116" t="s">
        <v>48</v>
      </c>
      <c r="F116" t="s">
        <v>72</v>
      </c>
      <c r="G116" t="s">
        <v>1048</v>
      </c>
      <c r="H116">
        <v>1356</v>
      </c>
      <c r="I116" t="s">
        <v>51</v>
      </c>
      <c r="J116" t="s">
        <v>52</v>
      </c>
      <c r="K116" t="s">
        <v>53</v>
      </c>
      <c r="L116" t="s">
        <v>56</v>
      </c>
      <c r="M116" t="s">
        <v>54</v>
      </c>
      <c r="N116">
        <v>6</v>
      </c>
      <c r="O116">
        <v>-2</v>
      </c>
      <c r="P116">
        <v>0</v>
      </c>
      <c r="Q116">
        <v>34</v>
      </c>
      <c r="R116">
        <v>0</v>
      </c>
      <c r="T116">
        <v>0</v>
      </c>
      <c r="U116">
        <v>1</v>
      </c>
      <c r="V116">
        <v>507</v>
      </c>
      <c r="W116">
        <v>15</v>
      </c>
      <c r="X116" t="s">
        <v>55</v>
      </c>
      <c r="Y116">
        <v>1</v>
      </c>
      <c r="Z116">
        <v>3</v>
      </c>
      <c r="AA116">
        <v>66</v>
      </c>
      <c r="AB116">
        <v>3</v>
      </c>
      <c r="AC116">
        <v>2</v>
      </c>
      <c r="AD116">
        <v>3</v>
      </c>
      <c r="AE116">
        <v>6125</v>
      </c>
      <c r="AF116">
        <v>23553</v>
      </c>
      <c r="AG116">
        <v>1</v>
      </c>
      <c r="AH116">
        <v>12</v>
      </c>
      <c r="AI116">
        <v>3</v>
      </c>
      <c r="AJ116">
        <v>4</v>
      </c>
      <c r="AK116">
        <v>80</v>
      </c>
      <c r="AL116">
        <v>0</v>
      </c>
      <c r="AM116">
        <v>10</v>
      </c>
      <c r="AN116">
        <v>4</v>
      </c>
      <c r="AO116">
        <v>10</v>
      </c>
      <c r="AP116">
        <v>8</v>
      </c>
      <c r="AQ116">
        <v>9</v>
      </c>
      <c r="AR116">
        <v>6</v>
      </c>
    </row>
    <row r="117" spans="1:44" x14ac:dyDescent="0.3">
      <c r="A117" t="s">
        <v>56</v>
      </c>
      <c r="B117" t="s">
        <v>45</v>
      </c>
      <c r="C117" t="s">
        <v>46</v>
      </c>
      <c r="D117" t="s">
        <v>59</v>
      </c>
      <c r="E117" t="s">
        <v>48</v>
      </c>
      <c r="F117" t="s">
        <v>49</v>
      </c>
      <c r="G117" t="s">
        <v>1047</v>
      </c>
      <c r="H117">
        <v>1355</v>
      </c>
      <c r="I117" t="s">
        <v>51</v>
      </c>
      <c r="J117" t="s">
        <v>52</v>
      </c>
      <c r="K117" t="s">
        <v>79</v>
      </c>
      <c r="L117" t="s">
        <v>56</v>
      </c>
      <c r="M117" t="s">
        <v>54</v>
      </c>
      <c r="N117">
        <v>3</v>
      </c>
      <c r="O117">
        <v>-2</v>
      </c>
      <c r="P117">
        <v>0</v>
      </c>
      <c r="Q117">
        <v>38</v>
      </c>
      <c r="R117">
        <v>0</v>
      </c>
      <c r="T117">
        <v>0</v>
      </c>
      <c r="U117">
        <v>1</v>
      </c>
      <c r="V117">
        <v>1009</v>
      </c>
      <c r="W117">
        <v>2</v>
      </c>
      <c r="X117" t="s">
        <v>55</v>
      </c>
      <c r="Y117">
        <v>1</v>
      </c>
      <c r="Z117">
        <v>2</v>
      </c>
      <c r="AA117">
        <v>31</v>
      </c>
      <c r="AB117">
        <v>3</v>
      </c>
      <c r="AC117">
        <v>2</v>
      </c>
      <c r="AD117">
        <v>3</v>
      </c>
      <c r="AE117">
        <v>6893</v>
      </c>
      <c r="AF117">
        <v>19461</v>
      </c>
      <c r="AG117">
        <v>3</v>
      </c>
      <c r="AH117">
        <v>15</v>
      </c>
      <c r="AI117">
        <v>3</v>
      </c>
      <c r="AJ117">
        <v>4</v>
      </c>
      <c r="AK117">
        <v>80</v>
      </c>
      <c r="AL117">
        <v>1</v>
      </c>
      <c r="AM117">
        <v>11</v>
      </c>
      <c r="AN117">
        <v>3</v>
      </c>
      <c r="AO117">
        <v>7</v>
      </c>
      <c r="AP117">
        <v>7</v>
      </c>
      <c r="AQ117">
        <v>1</v>
      </c>
      <c r="AR117">
        <v>7</v>
      </c>
    </row>
    <row r="118" spans="1:44" x14ac:dyDescent="0.3">
      <c r="A118" t="s">
        <v>56</v>
      </c>
      <c r="B118" t="s">
        <v>91</v>
      </c>
      <c r="C118" t="s">
        <v>46</v>
      </c>
      <c r="D118" t="s">
        <v>59</v>
      </c>
      <c r="E118" t="s">
        <v>60</v>
      </c>
      <c r="F118" t="s">
        <v>49</v>
      </c>
      <c r="G118" t="s">
        <v>1041</v>
      </c>
      <c r="H118">
        <v>1340</v>
      </c>
      <c r="I118" t="s">
        <v>62</v>
      </c>
      <c r="J118" t="s">
        <v>63</v>
      </c>
      <c r="K118" t="s">
        <v>79</v>
      </c>
      <c r="L118" t="s">
        <v>56</v>
      </c>
      <c r="M118" t="s">
        <v>54</v>
      </c>
      <c r="N118">
        <v>0</v>
      </c>
      <c r="O118">
        <v>-2</v>
      </c>
      <c r="P118">
        <v>0</v>
      </c>
      <c r="Q118">
        <v>40</v>
      </c>
      <c r="R118">
        <v>0</v>
      </c>
      <c r="T118">
        <v>0</v>
      </c>
      <c r="U118">
        <v>1</v>
      </c>
      <c r="V118">
        <v>458</v>
      </c>
      <c r="W118">
        <v>16</v>
      </c>
      <c r="X118" t="s">
        <v>55</v>
      </c>
      <c r="Y118">
        <v>1</v>
      </c>
      <c r="Z118">
        <v>3</v>
      </c>
      <c r="AA118">
        <v>74</v>
      </c>
      <c r="AB118">
        <v>3</v>
      </c>
      <c r="AC118">
        <v>1</v>
      </c>
      <c r="AD118">
        <v>3</v>
      </c>
      <c r="AE118">
        <v>3544</v>
      </c>
      <c r="AF118">
        <v>8532</v>
      </c>
      <c r="AG118">
        <v>9</v>
      </c>
      <c r="AH118">
        <v>16</v>
      </c>
      <c r="AI118">
        <v>3</v>
      </c>
      <c r="AJ118">
        <v>2</v>
      </c>
      <c r="AK118">
        <v>80</v>
      </c>
      <c r="AL118">
        <v>1</v>
      </c>
      <c r="AM118">
        <v>6</v>
      </c>
      <c r="AN118">
        <v>3</v>
      </c>
      <c r="AO118">
        <v>4</v>
      </c>
      <c r="AP118">
        <v>2</v>
      </c>
      <c r="AQ118">
        <v>0</v>
      </c>
      <c r="AR118">
        <v>0</v>
      </c>
    </row>
    <row r="119" spans="1:44" x14ac:dyDescent="0.3">
      <c r="A119" t="s">
        <v>56</v>
      </c>
      <c r="B119" t="s">
        <v>45</v>
      </c>
      <c r="C119" t="s">
        <v>75</v>
      </c>
      <c r="D119" t="s">
        <v>59</v>
      </c>
      <c r="E119" t="s">
        <v>60</v>
      </c>
      <c r="F119" t="s">
        <v>72</v>
      </c>
      <c r="G119" t="s">
        <v>1039</v>
      </c>
      <c r="H119">
        <v>1336</v>
      </c>
      <c r="I119" t="s">
        <v>51</v>
      </c>
      <c r="J119" t="s">
        <v>95</v>
      </c>
      <c r="K119" t="s">
        <v>64</v>
      </c>
      <c r="L119" t="s">
        <v>56</v>
      </c>
      <c r="M119" t="s">
        <v>54</v>
      </c>
      <c r="N119">
        <v>5</v>
      </c>
      <c r="O119">
        <v>-2</v>
      </c>
      <c r="P119">
        <v>0</v>
      </c>
      <c r="Q119">
        <v>55</v>
      </c>
      <c r="R119">
        <v>0</v>
      </c>
      <c r="T119">
        <v>0</v>
      </c>
      <c r="U119">
        <v>1</v>
      </c>
      <c r="V119">
        <v>282</v>
      </c>
      <c r="W119">
        <v>2</v>
      </c>
      <c r="X119" t="s">
        <v>55</v>
      </c>
      <c r="Y119">
        <v>1</v>
      </c>
      <c r="Z119">
        <v>4</v>
      </c>
      <c r="AA119">
        <v>58</v>
      </c>
      <c r="AB119">
        <v>1</v>
      </c>
      <c r="AC119">
        <v>5</v>
      </c>
      <c r="AD119">
        <v>3</v>
      </c>
      <c r="AE119">
        <v>19187</v>
      </c>
      <c r="AF119">
        <v>6992</v>
      </c>
      <c r="AG119">
        <v>4</v>
      </c>
      <c r="AH119">
        <v>14</v>
      </c>
      <c r="AI119">
        <v>3</v>
      </c>
      <c r="AJ119">
        <v>4</v>
      </c>
      <c r="AK119">
        <v>80</v>
      </c>
      <c r="AL119">
        <v>1</v>
      </c>
      <c r="AM119">
        <v>23</v>
      </c>
      <c r="AN119">
        <v>3</v>
      </c>
      <c r="AO119">
        <v>19</v>
      </c>
      <c r="AP119">
        <v>9</v>
      </c>
      <c r="AQ119">
        <v>9</v>
      </c>
      <c r="AR119">
        <v>11</v>
      </c>
    </row>
    <row r="120" spans="1:44" x14ac:dyDescent="0.3">
      <c r="A120" t="s">
        <v>56</v>
      </c>
      <c r="B120" t="s">
        <v>91</v>
      </c>
      <c r="C120" t="s">
        <v>46</v>
      </c>
      <c r="D120" t="s">
        <v>59</v>
      </c>
      <c r="E120" t="s">
        <v>48</v>
      </c>
      <c r="F120" t="s">
        <v>72</v>
      </c>
      <c r="G120" t="s">
        <v>1035</v>
      </c>
      <c r="H120">
        <v>1329</v>
      </c>
      <c r="I120" t="s">
        <v>62</v>
      </c>
      <c r="J120" t="s">
        <v>52</v>
      </c>
      <c r="K120" t="s">
        <v>53</v>
      </c>
      <c r="L120" t="s">
        <v>56</v>
      </c>
      <c r="M120" t="s">
        <v>54</v>
      </c>
      <c r="N120">
        <v>4</v>
      </c>
      <c r="O120">
        <v>-2</v>
      </c>
      <c r="P120">
        <v>0</v>
      </c>
      <c r="Q120">
        <v>41</v>
      </c>
      <c r="R120">
        <v>0</v>
      </c>
      <c r="T120">
        <v>0</v>
      </c>
      <c r="U120">
        <v>1</v>
      </c>
      <c r="V120">
        <v>256</v>
      </c>
      <c r="W120">
        <v>10</v>
      </c>
      <c r="X120" t="s">
        <v>55</v>
      </c>
      <c r="Y120">
        <v>1</v>
      </c>
      <c r="Z120">
        <v>3</v>
      </c>
      <c r="AA120">
        <v>40</v>
      </c>
      <c r="AB120">
        <v>1</v>
      </c>
      <c r="AC120">
        <v>2</v>
      </c>
      <c r="AD120">
        <v>2</v>
      </c>
      <c r="AE120">
        <v>6151</v>
      </c>
      <c r="AF120">
        <v>22074</v>
      </c>
      <c r="AG120">
        <v>1</v>
      </c>
      <c r="AH120">
        <v>13</v>
      </c>
      <c r="AI120">
        <v>3</v>
      </c>
      <c r="AJ120">
        <v>1</v>
      </c>
      <c r="AK120">
        <v>80</v>
      </c>
      <c r="AL120">
        <v>0</v>
      </c>
      <c r="AM120">
        <v>19</v>
      </c>
      <c r="AN120">
        <v>3</v>
      </c>
      <c r="AO120">
        <v>19</v>
      </c>
      <c r="AP120">
        <v>2</v>
      </c>
      <c r="AQ120">
        <v>11</v>
      </c>
      <c r="AR120">
        <v>9</v>
      </c>
    </row>
    <row r="121" spans="1:44" x14ac:dyDescent="0.3">
      <c r="A121" t="s">
        <v>56</v>
      </c>
      <c r="B121" t="s">
        <v>57</v>
      </c>
      <c r="C121" t="s">
        <v>46</v>
      </c>
      <c r="D121" t="s">
        <v>59</v>
      </c>
      <c r="E121" t="s">
        <v>48</v>
      </c>
      <c r="F121" t="s">
        <v>113</v>
      </c>
      <c r="G121" t="s">
        <v>201</v>
      </c>
      <c r="H121">
        <v>154</v>
      </c>
      <c r="I121" t="s">
        <v>51</v>
      </c>
      <c r="J121" t="s">
        <v>52</v>
      </c>
      <c r="K121" t="s">
        <v>64</v>
      </c>
      <c r="L121" t="s">
        <v>56</v>
      </c>
      <c r="M121" t="s">
        <v>54</v>
      </c>
      <c r="N121">
        <v>6</v>
      </c>
      <c r="O121">
        <v>-2</v>
      </c>
      <c r="P121">
        <v>0</v>
      </c>
      <c r="Q121">
        <v>36</v>
      </c>
      <c r="R121">
        <v>0</v>
      </c>
      <c r="T121">
        <v>0</v>
      </c>
      <c r="U121">
        <v>1</v>
      </c>
      <c r="V121">
        <v>1467</v>
      </c>
      <c r="W121">
        <v>11</v>
      </c>
      <c r="X121" t="s">
        <v>55</v>
      </c>
      <c r="Y121">
        <v>1</v>
      </c>
      <c r="Z121">
        <v>2</v>
      </c>
      <c r="AA121">
        <v>92</v>
      </c>
      <c r="AB121">
        <v>3</v>
      </c>
      <c r="AC121">
        <v>3</v>
      </c>
      <c r="AD121">
        <v>4</v>
      </c>
      <c r="AE121">
        <v>9738</v>
      </c>
      <c r="AF121">
        <v>22952</v>
      </c>
      <c r="AG121">
        <v>0</v>
      </c>
      <c r="AH121">
        <v>14</v>
      </c>
      <c r="AI121">
        <v>3</v>
      </c>
      <c r="AJ121">
        <v>3</v>
      </c>
      <c r="AK121">
        <v>80</v>
      </c>
      <c r="AL121">
        <v>1</v>
      </c>
      <c r="AM121">
        <v>10</v>
      </c>
      <c r="AN121">
        <v>3</v>
      </c>
      <c r="AO121">
        <v>9</v>
      </c>
      <c r="AP121">
        <v>7</v>
      </c>
      <c r="AQ121">
        <v>2</v>
      </c>
      <c r="AR121">
        <v>8</v>
      </c>
    </row>
    <row r="122" spans="1:44" x14ac:dyDescent="0.3">
      <c r="A122" t="s">
        <v>56</v>
      </c>
      <c r="B122" t="s">
        <v>45</v>
      </c>
      <c r="C122" t="s">
        <v>46</v>
      </c>
      <c r="D122" t="s">
        <v>59</v>
      </c>
      <c r="E122" t="s">
        <v>60</v>
      </c>
      <c r="F122" t="s">
        <v>49</v>
      </c>
      <c r="G122" t="s">
        <v>202</v>
      </c>
      <c r="H122">
        <v>155</v>
      </c>
      <c r="I122" t="s">
        <v>51</v>
      </c>
      <c r="J122" t="s">
        <v>68</v>
      </c>
      <c r="K122" t="s">
        <v>79</v>
      </c>
      <c r="L122" t="s">
        <v>56</v>
      </c>
      <c r="M122" t="s">
        <v>54</v>
      </c>
      <c r="N122">
        <v>2</v>
      </c>
      <c r="O122">
        <v>-2</v>
      </c>
      <c r="P122">
        <v>0</v>
      </c>
      <c r="Q122">
        <v>36</v>
      </c>
      <c r="R122">
        <v>0</v>
      </c>
      <c r="T122">
        <v>0</v>
      </c>
      <c r="U122">
        <v>1</v>
      </c>
      <c r="V122">
        <v>922</v>
      </c>
      <c r="W122">
        <v>3</v>
      </c>
      <c r="X122" t="s">
        <v>55</v>
      </c>
      <c r="Y122">
        <v>1</v>
      </c>
      <c r="Z122">
        <v>1</v>
      </c>
      <c r="AA122">
        <v>39</v>
      </c>
      <c r="AB122">
        <v>3</v>
      </c>
      <c r="AC122">
        <v>1</v>
      </c>
      <c r="AD122">
        <v>2</v>
      </c>
      <c r="AE122">
        <v>2835</v>
      </c>
      <c r="AF122">
        <v>2561</v>
      </c>
      <c r="AG122">
        <v>5</v>
      </c>
      <c r="AH122">
        <v>22</v>
      </c>
      <c r="AI122">
        <v>4</v>
      </c>
      <c r="AJ122">
        <v>1</v>
      </c>
      <c r="AK122">
        <v>80</v>
      </c>
      <c r="AL122">
        <v>1</v>
      </c>
      <c r="AM122">
        <v>7</v>
      </c>
      <c r="AN122">
        <v>3</v>
      </c>
      <c r="AO122">
        <v>1</v>
      </c>
      <c r="AP122">
        <v>0</v>
      </c>
      <c r="AQ122">
        <v>0</v>
      </c>
      <c r="AR122">
        <v>0</v>
      </c>
    </row>
    <row r="123" spans="1:44" x14ac:dyDescent="0.3">
      <c r="A123" t="s">
        <v>56</v>
      </c>
      <c r="B123" t="s">
        <v>57</v>
      </c>
      <c r="C123" t="s">
        <v>46</v>
      </c>
      <c r="D123" t="s">
        <v>59</v>
      </c>
      <c r="E123" t="s">
        <v>48</v>
      </c>
      <c r="F123" t="s">
        <v>49</v>
      </c>
      <c r="G123" t="s">
        <v>203</v>
      </c>
      <c r="H123">
        <v>158</v>
      </c>
      <c r="I123" t="s">
        <v>62</v>
      </c>
      <c r="J123" t="s">
        <v>95</v>
      </c>
      <c r="K123" t="s">
        <v>64</v>
      </c>
      <c r="L123" t="s">
        <v>44</v>
      </c>
      <c r="M123" t="s">
        <v>54</v>
      </c>
      <c r="N123">
        <v>3</v>
      </c>
      <c r="O123">
        <v>-2</v>
      </c>
      <c r="P123">
        <v>0</v>
      </c>
      <c r="Q123">
        <v>43</v>
      </c>
      <c r="R123">
        <v>0</v>
      </c>
      <c r="T123">
        <v>0</v>
      </c>
      <c r="U123">
        <v>1</v>
      </c>
      <c r="V123">
        <v>394</v>
      </c>
      <c r="W123">
        <v>26</v>
      </c>
      <c r="X123" t="s">
        <v>55</v>
      </c>
      <c r="Y123">
        <v>1</v>
      </c>
      <c r="Z123">
        <v>3</v>
      </c>
      <c r="AA123">
        <v>92</v>
      </c>
      <c r="AB123">
        <v>3</v>
      </c>
      <c r="AC123">
        <v>4</v>
      </c>
      <c r="AD123">
        <v>2</v>
      </c>
      <c r="AE123">
        <v>16959</v>
      </c>
      <c r="AF123">
        <v>19494</v>
      </c>
      <c r="AG123">
        <v>1</v>
      </c>
      <c r="AH123">
        <v>12</v>
      </c>
      <c r="AI123">
        <v>3</v>
      </c>
      <c r="AJ123">
        <v>4</v>
      </c>
      <c r="AK123">
        <v>80</v>
      </c>
      <c r="AL123">
        <v>2</v>
      </c>
      <c r="AM123">
        <v>25</v>
      </c>
      <c r="AN123">
        <v>4</v>
      </c>
      <c r="AO123">
        <v>25</v>
      </c>
      <c r="AP123">
        <v>12</v>
      </c>
      <c r="AQ123">
        <v>4</v>
      </c>
      <c r="AR123">
        <v>12</v>
      </c>
    </row>
    <row r="124" spans="1:44" x14ac:dyDescent="0.3">
      <c r="A124" t="s">
        <v>56</v>
      </c>
      <c r="B124" t="s">
        <v>45</v>
      </c>
      <c r="C124" t="s">
        <v>46</v>
      </c>
      <c r="D124" t="s">
        <v>59</v>
      </c>
      <c r="E124" t="s">
        <v>60</v>
      </c>
      <c r="F124" t="s">
        <v>49</v>
      </c>
      <c r="G124" t="s">
        <v>1033</v>
      </c>
      <c r="H124">
        <v>1322</v>
      </c>
      <c r="I124" t="s">
        <v>62</v>
      </c>
      <c r="J124" t="s">
        <v>81</v>
      </c>
      <c r="K124" t="s">
        <v>53</v>
      </c>
      <c r="L124" t="s">
        <v>56</v>
      </c>
      <c r="M124" t="s">
        <v>54</v>
      </c>
      <c r="N124">
        <v>6</v>
      </c>
      <c r="O124">
        <v>-2</v>
      </c>
      <c r="P124">
        <v>0</v>
      </c>
      <c r="Q124">
        <v>39</v>
      </c>
      <c r="R124">
        <v>0</v>
      </c>
      <c r="T124">
        <v>0</v>
      </c>
      <c r="U124">
        <v>1</v>
      </c>
      <c r="V124">
        <v>524</v>
      </c>
      <c r="W124">
        <v>18</v>
      </c>
      <c r="X124" t="s">
        <v>55</v>
      </c>
      <c r="Y124">
        <v>1</v>
      </c>
      <c r="Z124">
        <v>1</v>
      </c>
      <c r="AA124">
        <v>32</v>
      </c>
      <c r="AB124">
        <v>3</v>
      </c>
      <c r="AC124">
        <v>2</v>
      </c>
      <c r="AD124">
        <v>3</v>
      </c>
      <c r="AE124">
        <v>4534</v>
      </c>
      <c r="AF124">
        <v>13352</v>
      </c>
      <c r="AG124">
        <v>0</v>
      </c>
      <c r="AH124">
        <v>11</v>
      </c>
      <c r="AI124">
        <v>3</v>
      </c>
      <c r="AJ124">
        <v>1</v>
      </c>
      <c r="AK124">
        <v>80</v>
      </c>
      <c r="AL124">
        <v>0</v>
      </c>
      <c r="AM124">
        <v>9</v>
      </c>
      <c r="AN124">
        <v>3</v>
      </c>
      <c r="AO124">
        <v>8</v>
      </c>
      <c r="AP124">
        <v>7</v>
      </c>
      <c r="AQ124">
        <v>1</v>
      </c>
      <c r="AR124">
        <v>7</v>
      </c>
    </row>
    <row r="125" spans="1:44" x14ac:dyDescent="0.3">
      <c r="A125" t="s">
        <v>56</v>
      </c>
      <c r="B125" t="s">
        <v>91</v>
      </c>
      <c r="C125" t="s">
        <v>69</v>
      </c>
      <c r="D125" t="s">
        <v>59</v>
      </c>
      <c r="E125" t="s">
        <v>48</v>
      </c>
      <c r="F125" t="s">
        <v>106</v>
      </c>
      <c r="G125" t="s">
        <v>205</v>
      </c>
      <c r="H125">
        <v>160</v>
      </c>
      <c r="I125" t="s">
        <v>62</v>
      </c>
      <c r="J125" t="s">
        <v>52</v>
      </c>
      <c r="K125" t="s">
        <v>64</v>
      </c>
      <c r="L125" t="s">
        <v>56</v>
      </c>
      <c r="M125" t="s">
        <v>54</v>
      </c>
      <c r="N125">
        <v>2</v>
      </c>
      <c r="O125">
        <v>-2</v>
      </c>
      <c r="P125">
        <v>0</v>
      </c>
      <c r="Q125">
        <v>33</v>
      </c>
      <c r="R125">
        <v>0</v>
      </c>
      <c r="T125">
        <v>0</v>
      </c>
      <c r="U125">
        <v>1</v>
      </c>
      <c r="V125">
        <v>750</v>
      </c>
      <c r="W125">
        <v>22</v>
      </c>
      <c r="X125" t="s">
        <v>55</v>
      </c>
      <c r="Y125">
        <v>1</v>
      </c>
      <c r="Z125">
        <v>3</v>
      </c>
      <c r="AA125">
        <v>95</v>
      </c>
      <c r="AB125">
        <v>3</v>
      </c>
      <c r="AC125">
        <v>2</v>
      </c>
      <c r="AD125">
        <v>3</v>
      </c>
      <c r="AE125">
        <v>6146</v>
      </c>
      <c r="AF125">
        <v>15480</v>
      </c>
      <c r="AG125">
        <v>0</v>
      </c>
      <c r="AH125">
        <v>13</v>
      </c>
      <c r="AI125">
        <v>3</v>
      </c>
      <c r="AJ125">
        <v>1</v>
      </c>
      <c r="AK125">
        <v>80</v>
      </c>
      <c r="AL125">
        <v>1</v>
      </c>
      <c r="AM125">
        <v>8</v>
      </c>
      <c r="AN125">
        <v>4</v>
      </c>
      <c r="AO125">
        <v>7</v>
      </c>
      <c r="AP125">
        <v>7</v>
      </c>
      <c r="AQ125">
        <v>0</v>
      </c>
      <c r="AR125">
        <v>7</v>
      </c>
    </row>
    <row r="126" spans="1:44" x14ac:dyDescent="0.3">
      <c r="A126" t="s">
        <v>56</v>
      </c>
      <c r="B126" t="s">
        <v>45</v>
      </c>
      <c r="C126" t="s">
        <v>58</v>
      </c>
      <c r="D126" t="s">
        <v>59</v>
      </c>
      <c r="E126" t="s">
        <v>161</v>
      </c>
      <c r="F126" t="s">
        <v>49</v>
      </c>
      <c r="G126" t="s">
        <v>1027</v>
      </c>
      <c r="H126">
        <v>1314</v>
      </c>
      <c r="I126" t="s">
        <v>51</v>
      </c>
      <c r="J126" t="s">
        <v>163</v>
      </c>
      <c r="K126" t="s">
        <v>53</v>
      </c>
      <c r="L126" t="s">
        <v>56</v>
      </c>
      <c r="M126" t="s">
        <v>54</v>
      </c>
      <c r="N126">
        <v>3</v>
      </c>
      <c r="O126">
        <v>-2</v>
      </c>
      <c r="P126">
        <v>0</v>
      </c>
      <c r="Q126">
        <v>46</v>
      </c>
      <c r="R126">
        <v>0</v>
      </c>
      <c r="T126">
        <v>0</v>
      </c>
      <c r="U126">
        <v>1</v>
      </c>
      <c r="V126">
        <v>991</v>
      </c>
      <c r="W126">
        <v>1</v>
      </c>
      <c r="X126" t="s">
        <v>55</v>
      </c>
      <c r="Y126">
        <v>1</v>
      </c>
      <c r="Z126">
        <v>4</v>
      </c>
      <c r="AA126">
        <v>44</v>
      </c>
      <c r="AB126">
        <v>3</v>
      </c>
      <c r="AC126">
        <v>1</v>
      </c>
      <c r="AD126">
        <v>3</v>
      </c>
      <c r="AE126">
        <v>3423</v>
      </c>
      <c r="AF126">
        <v>22957</v>
      </c>
      <c r="AG126">
        <v>6</v>
      </c>
      <c r="AH126">
        <v>12</v>
      </c>
      <c r="AI126">
        <v>3</v>
      </c>
      <c r="AJ126">
        <v>3</v>
      </c>
      <c r="AK126">
        <v>80</v>
      </c>
      <c r="AL126">
        <v>0</v>
      </c>
      <c r="AM126">
        <v>10</v>
      </c>
      <c r="AN126">
        <v>4</v>
      </c>
      <c r="AO126">
        <v>7</v>
      </c>
      <c r="AP126">
        <v>6</v>
      </c>
      <c r="AQ126">
        <v>5</v>
      </c>
      <c r="AR126">
        <v>7</v>
      </c>
    </row>
    <row r="127" spans="1:44" x14ac:dyDescent="0.3">
      <c r="A127" t="s">
        <v>44</v>
      </c>
      <c r="B127" t="s">
        <v>45</v>
      </c>
      <c r="C127" t="s">
        <v>69</v>
      </c>
      <c r="D127" t="s">
        <v>47</v>
      </c>
      <c r="E127" t="s">
        <v>60</v>
      </c>
      <c r="F127" t="s">
        <v>49</v>
      </c>
      <c r="G127" t="s">
        <v>1023</v>
      </c>
      <c r="H127">
        <v>1309</v>
      </c>
      <c r="I127" t="s">
        <v>62</v>
      </c>
      <c r="J127" t="s">
        <v>68</v>
      </c>
      <c r="K127" t="s">
        <v>64</v>
      </c>
      <c r="L127" t="s">
        <v>56</v>
      </c>
      <c r="M127" t="s">
        <v>54</v>
      </c>
      <c r="N127">
        <v>3</v>
      </c>
      <c r="O127">
        <v>-2</v>
      </c>
      <c r="P127">
        <v>0</v>
      </c>
      <c r="Q127">
        <v>32</v>
      </c>
      <c r="R127">
        <v>1</v>
      </c>
      <c r="S127">
        <v>1</v>
      </c>
      <c r="T127">
        <v>1</v>
      </c>
      <c r="U127">
        <v>0</v>
      </c>
      <c r="V127">
        <v>1089</v>
      </c>
      <c r="W127">
        <v>7</v>
      </c>
      <c r="X127" t="s">
        <v>55</v>
      </c>
      <c r="Y127">
        <v>1</v>
      </c>
      <c r="Z127">
        <v>4</v>
      </c>
      <c r="AA127">
        <v>79</v>
      </c>
      <c r="AB127">
        <v>3</v>
      </c>
      <c r="AC127">
        <v>2</v>
      </c>
      <c r="AD127">
        <v>3</v>
      </c>
      <c r="AE127">
        <v>4883</v>
      </c>
      <c r="AF127">
        <v>22845</v>
      </c>
      <c r="AG127">
        <v>1</v>
      </c>
      <c r="AH127">
        <v>18</v>
      </c>
      <c r="AI127">
        <v>3</v>
      </c>
      <c r="AJ127">
        <v>1</v>
      </c>
      <c r="AK127">
        <v>80</v>
      </c>
      <c r="AL127">
        <v>1</v>
      </c>
      <c r="AM127">
        <v>10</v>
      </c>
      <c r="AN127">
        <v>3</v>
      </c>
      <c r="AO127">
        <v>10</v>
      </c>
      <c r="AP127">
        <v>4</v>
      </c>
      <c r="AQ127">
        <v>1</v>
      </c>
      <c r="AR127">
        <v>1</v>
      </c>
    </row>
    <row r="128" spans="1:44" x14ac:dyDescent="0.3">
      <c r="A128" t="s">
        <v>56</v>
      </c>
      <c r="B128" t="s">
        <v>91</v>
      </c>
      <c r="C128" t="s">
        <v>69</v>
      </c>
      <c r="D128" t="s">
        <v>59</v>
      </c>
      <c r="E128" t="s">
        <v>60</v>
      </c>
      <c r="F128" t="s">
        <v>72</v>
      </c>
      <c r="G128" t="s">
        <v>1015</v>
      </c>
      <c r="H128">
        <v>1298</v>
      </c>
      <c r="I128" t="s">
        <v>51</v>
      </c>
      <c r="J128" t="s">
        <v>81</v>
      </c>
      <c r="K128" t="s">
        <v>53</v>
      </c>
      <c r="L128" t="s">
        <v>44</v>
      </c>
      <c r="M128" t="s">
        <v>54</v>
      </c>
      <c r="N128">
        <v>3</v>
      </c>
      <c r="O128">
        <v>-2</v>
      </c>
      <c r="P128">
        <v>0</v>
      </c>
      <c r="Q128">
        <v>30</v>
      </c>
      <c r="R128">
        <v>0</v>
      </c>
      <c r="T128">
        <v>0</v>
      </c>
      <c r="U128">
        <v>1</v>
      </c>
      <c r="V128">
        <v>879</v>
      </c>
      <c r="W128">
        <v>9</v>
      </c>
      <c r="X128" t="s">
        <v>55</v>
      </c>
      <c r="Y128">
        <v>1</v>
      </c>
      <c r="Z128">
        <v>3</v>
      </c>
      <c r="AA128">
        <v>72</v>
      </c>
      <c r="AB128">
        <v>3</v>
      </c>
      <c r="AC128">
        <v>2</v>
      </c>
      <c r="AD128">
        <v>3</v>
      </c>
      <c r="AE128">
        <v>4695</v>
      </c>
      <c r="AF128">
        <v>12858</v>
      </c>
      <c r="AG128">
        <v>7</v>
      </c>
      <c r="AH128">
        <v>18</v>
      </c>
      <c r="AI128">
        <v>3</v>
      </c>
      <c r="AJ128">
        <v>3</v>
      </c>
      <c r="AK128">
        <v>80</v>
      </c>
      <c r="AL128">
        <v>0</v>
      </c>
      <c r="AM128">
        <v>10</v>
      </c>
      <c r="AN128">
        <v>3</v>
      </c>
      <c r="AO128">
        <v>8</v>
      </c>
      <c r="AP128">
        <v>4</v>
      </c>
      <c r="AQ128">
        <v>1</v>
      </c>
      <c r="AR128">
        <v>7</v>
      </c>
    </row>
    <row r="129" spans="1:44" x14ac:dyDescent="0.3">
      <c r="A129" t="s">
        <v>56</v>
      </c>
      <c r="B129" t="s">
        <v>57</v>
      </c>
      <c r="C129" t="s">
        <v>58</v>
      </c>
      <c r="D129" t="s">
        <v>59</v>
      </c>
      <c r="E129" t="s">
        <v>60</v>
      </c>
      <c r="F129" t="s">
        <v>72</v>
      </c>
      <c r="G129" t="s">
        <v>1014</v>
      </c>
      <c r="H129">
        <v>1297</v>
      </c>
      <c r="I129" t="s">
        <v>51</v>
      </c>
      <c r="J129" t="s">
        <v>68</v>
      </c>
      <c r="K129" t="s">
        <v>53</v>
      </c>
      <c r="L129" t="s">
        <v>56</v>
      </c>
      <c r="M129" t="s">
        <v>54</v>
      </c>
      <c r="N129">
        <v>6</v>
      </c>
      <c r="O129">
        <v>-2</v>
      </c>
      <c r="P129">
        <v>0</v>
      </c>
      <c r="Q129">
        <v>51</v>
      </c>
      <c r="R129">
        <v>0</v>
      </c>
      <c r="T129">
        <v>0</v>
      </c>
      <c r="U129">
        <v>1</v>
      </c>
      <c r="V129">
        <v>968</v>
      </c>
      <c r="W129">
        <v>6</v>
      </c>
      <c r="X129" t="s">
        <v>55</v>
      </c>
      <c r="Y129">
        <v>1</v>
      </c>
      <c r="Z129">
        <v>2</v>
      </c>
      <c r="AA129">
        <v>40</v>
      </c>
      <c r="AB129">
        <v>2</v>
      </c>
      <c r="AC129">
        <v>1</v>
      </c>
      <c r="AD129">
        <v>3</v>
      </c>
      <c r="AE129">
        <v>2838</v>
      </c>
      <c r="AF129">
        <v>4257</v>
      </c>
      <c r="AG129">
        <v>0</v>
      </c>
      <c r="AH129">
        <v>14</v>
      </c>
      <c r="AI129">
        <v>3</v>
      </c>
      <c r="AJ129">
        <v>2</v>
      </c>
      <c r="AK129">
        <v>80</v>
      </c>
      <c r="AL129">
        <v>0</v>
      </c>
      <c r="AM129">
        <v>8</v>
      </c>
      <c r="AN129">
        <v>2</v>
      </c>
      <c r="AO129">
        <v>7</v>
      </c>
      <c r="AP129">
        <v>0</v>
      </c>
      <c r="AQ129">
        <v>7</v>
      </c>
      <c r="AR129">
        <v>7</v>
      </c>
    </row>
    <row r="130" spans="1:44" x14ac:dyDescent="0.3">
      <c r="A130" t="s">
        <v>56</v>
      </c>
      <c r="B130" t="s">
        <v>45</v>
      </c>
      <c r="C130" t="s">
        <v>46</v>
      </c>
      <c r="D130" t="s">
        <v>59</v>
      </c>
      <c r="E130" t="s">
        <v>60</v>
      </c>
      <c r="F130" t="s">
        <v>49</v>
      </c>
      <c r="G130" t="s">
        <v>1006</v>
      </c>
      <c r="H130">
        <v>1288</v>
      </c>
      <c r="I130" t="s">
        <v>62</v>
      </c>
      <c r="J130" t="s">
        <v>95</v>
      </c>
      <c r="K130" t="s">
        <v>79</v>
      </c>
      <c r="L130" t="s">
        <v>56</v>
      </c>
      <c r="M130" t="s">
        <v>54</v>
      </c>
      <c r="N130">
        <v>4</v>
      </c>
      <c r="O130">
        <v>-2</v>
      </c>
      <c r="P130">
        <v>0</v>
      </c>
      <c r="Q130">
        <v>44</v>
      </c>
      <c r="R130">
        <v>0</v>
      </c>
      <c r="T130">
        <v>0</v>
      </c>
      <c r="U130">
        <v>1</v>
      </c>
      <c r="V130">
        <v>1199</v>
      </c>
      <c r="W130">
        <v>4</v>
      </c>
      <c r="X130" t="s">
        <v>55</v>
      </c>
      <c r="Y130">
        <v>1</v>
      </c>
      <c r="Z130">
        <v>3</v>
      </c>
      <c r="AA130">
        <v>92</v>
      </c>
      <c r="AB130">
        <v>4</v>
      </c>
      <c r="AC130">
        <v>5</v>
      </c>
      <c r="AD130">
        <v>3</v>
      </c>
      <c r="AE130">
        <v>19190</v>
      </c>
      <c r="AF130">
        <v>17477</v>
      </c>
      <c r="AG130">
        <v>1</v>
      </c>
      <c r="AH130">
        <v>14</v>
      </c>
      <c r="AI130">
        <v>3</v>
      </c>
      <c r="AJ130">
        <v>4</v>
      </c>
      <c r="AK130">
        <v>80</v>
      </c>
      <c r="AL130">
        <v>2</v>
      </c>
      <c r="AM130">
        <v>26</v>
      </c>
      <c r="AN130">
        <v>2</v>
      </c>
      <c r="AO130">
        <v>25</v>
      </c>
      <c r="AP130">
        <v>9</v>
      </c>
      <c r="AQ130">
        <v>14</v>
      </c>
      <c r="AR130">
        <v>13</v>
      </c>
    </row>
    <row r="131" spans="1:44" x14ac:dyDescent="0.3">
      <c r="A131" t="s">
        <v>56</v>
      </c>
      <c r="B131" t="s">
        <v>45</v>
      </c>
      <c r="C131" t="s">
        <v>58</v>
      </c>
      <c r="D131" t="s">
        <v>59</v>
      </c>
      <c r="E131" t="s">
        <v>48</v>
      </c>
      <c r="F131" t="s">
        <v>106</v>
      </c>
      <c r="G131" t="s">
        <v>1000</v>
      </c>
      <c r="H131">
        <v>1280</v>
      </c>
      <c r="I131" t="s">
        <v>51</v>
      </c>
      <c r="J131" t="s">
        <v>95</v>
      </c>
      <c r="K131" t="s">
        <v>64</v>
      </c>
      <c r="L131" t="s">
        <v>56</v>
      </c>
      <c r="M131" t="s">
        <v>54</v>
      </c>
      <c r="N131">
        <v>2</v>
      </c>
      <c r="O131">
        <v>-2</v>
      </c>
      <c r="P131">
        <v>0</v>
      </c>
      <c r="Q131">
        <v>46</v>
      </c>
      <c r="R131">
        <v>0</v>
      </c>
      <c r="T131">
        <v>0</v>
      </c>
      <c r="U131">
        <v>1</v>
      </c>
      <c r="V131">
        <v>168</v>
      </c>
      <c r="W131">
        <v>4</v>
      </c>
      <c r="X131" t="s">
        <v>55</v>
      </c>
      <c r="Y131">
        <v>1</v>
      </c>
      <c r="Z131">
        <v>4</v>
      </c>
      <c r="AA131">
        <v>33</v>
      </c>
      <c r="AB131">
        <v>2</v>
      </c>
      <c r="AC131">
        <v>5</v>
      </c>
      <c r="AD131">
        <v>2</v>
      </c>
      <c r="AE131">
        <v>18789</v>
      </c>
      <c r="AF131">
        <v>9946</v>
      </c>
      <c r="AG131">
        <v>2</v>
      </c>
      <c r="AH131">
        <v>14</v>
      </c>
      <c r="AI131">
        <v>3</v>
      </c>
      <c r="AJ131">
        <v>3</v>
      </c>
      <c r="AK131">
        <v>80</v>
      </c>
      <c r="AL131">
        <v>1</v>
      </c>
      <c r="AM131">
        <v>26</v>
      </c>
      <c r="AN131">
        <v>3</v>
      </c>
      <c r="AO131">
        <v>11</v>
      </c>
      <c r="AP131">
        <v>4</v>
      </c>
      <c r="AQ131">
        <v>0</v>
      </c>
      <c r="AR131">
        <v>8</v>
      </c>
    </row>
    <row r="132" spans="1:44" x14ac:dyDescent="0.3">
      <c r="A132" t="s">
        <v>44</v>
      </c>
      <c r="B132" t="s">
        <v>57</v>
      </c>
      <c r="C132" t="s">
        <v>92</v>
      </c>
      <c r="D132" t="s">
        <v>47</v>
      </c>
      <c r="E132" t="s">
        <v>60</v>
      </c>
      <c r="F132" t="s">
        <v>49</v>
      </c>
      <c r="G132" t="s">
        <v>999</v>
      </c>
      <c r="H132">
        <v>1279</v>
      </c>
      <c r="I132" t="s">
        <v>51</v>
      </c>
      <c r="J132" t="s">
        <v>68</v>
      </c>
      <c r="K132" t="s">
        <v>53</v>
      </c>
      <c r="L132" t="s">
        <v>56</v>
      </c>
      <c r="M132" t="s">
        <v>54</v>
      </c>
      <c r="N132">
        <v>2</v>
      </c>
      <c r="O132">
        <v>-2</v>
      </c>
      <c r="P132">
        <v>0</v>
      </c>
      <c r="Q132">
        <v>21</v>
      </c>
      <c r="R132">
        <v>1</v>
      </c>
      <c r="S132">
        <v>1</v>
      </c>
      <c r="T132">
        <v>1</v>
      </c>
      <c r="U132">
        <v>0</v>
      </c>
      <c r="V132">
        <v>251</v>
      </c>
      <c r="W132">
        <v>10</v>
      </c>
      <c r="X132" t="s">
        <v>55</v>
      </c>
      <c r="Y132">
        <v>1</v>
      </c>
      <c r="Z132">
        <v>1</v>
      </c>
      <c r="AA132">
        <v>45</v>
      </c>
      <c r="AB132">
        <v>2</v>
      </c>
      <c r="AC132">
        <v>1</v>
      </c>
      <c r="AD132">
        <v>1</v>
      </c>
      <c r="AE132">
        <v>2625</v>
      </c>
      <c r="AF132">
        <v>25308</v>
      </c>
      <c r="AG132">
        <v>1</v>
      </c>
      <c r="AH132">
        <v>20</v>
      </c>
      <c r="AI132">
        <v>4</v>
      </c>
      <c r="AJ132">
        <v>3</v>
      </c>
      <c r="AK132">
        <v>80</v>
      </c>
      <c r="AL132">
        <v>0</v>
      </c>
      <c r="AM132">
        <v>2</v>
      </c>
      <c r="AN132">
        <v>1</v>
      </c>
      <c r="AO132">
        <v>2</v>
      </c>
      <c r="AP132">
        <v>2</v>
      </c>
      <c r="AQ132">
        <v>2</v>
      </c>
      <c r="AR132">
        <v>2</v>
      </c>
    </row>
    <row r="133" spans="1:44" x14ac:dyDescent="0.3">
      <c r="A133" t="s">
        <v>56</v>
      </c>
      <c r="B133" t="s">
        <v>45</v>
      </c>
      <c r="C133" t="s">
        <v>69</v>
      </c>
      <c r="D133" t="s">
        <v>59</v>
      </c>
      <c r="E133" t="s">
        <v>60</v>
      </c>
      <c r="F133" t="s">
        <v>49</v>
      </c>
      <c r="G133" t="s">
        <v>996</v>
      </c>
      <c r="H133">
        <v>1275</v>
      </c>
      <c r="I133" t="s">
        <v>62</v>
      </c>
      <c r="J133" t="s">
        <v>63</v>
      </c>
      <c r="K133" t="s">
        <v>53</v>
      </c>
      <c r="L133" t="s">
        <v>44</v>
      </c>
      <c r="M133" t="s">
        <v>54</v>
      </c>
      <c r="N133">
        <v>2</v>
      </c>
      <c r="O133">
        <v>-2</v>
      </c>
      <c r="P133">
        <v>0</v>
      </c>
      <c r="Q133">
        <v>26</v>
      </c>
      <c r="R133">
        <v>0</v>
      </c>
      <c r="T133">
        <v>0</v>
      </c>
      <c r="U133">
        <v>1</v>
      </c>
      <c r="V133">
        <v>583</v>
      </c>
      <c r="W133">
        <v>4</v>
      </c>
      <c r="X133" t="s">
        <v>55</v>
      </c>
      <c r="Y133">
        <v>1</v>
      </c>
      <c r="Z133">
        <v>3</v>
      </c>
      <c r="AA133">
        <v>53</v>
      </c>
      <c r="AB133">
        <v>3</v>
      </c>
      <c r="AC133">
        <v>1</v>
      </c>
      <c r="AD133">
        <v>1</v>
      </c>
      <c r="AE133">
        <v>2875</v>
      </c>
      <c r="AF133">
        <v>9973</v>
      </c>
      <c r="AG133">
        <v>1</v>
      </c>
      <c r="AH133">
        <v>20</v>
      </c>
      <c r="AI133">
        <v>4</v>
      </c>
      <c r="AJ133">
        <v>2</v>
      </c>
      <c r="AK133">
        <v>80</v>
      </c>
      <c r="AL133">
        <v>0</v>
      </c>
      <c r="AM133">
        <v>8</v>
      </c>
      <c r="AN133">
        <v>2</v>
      </c>
      <c r="AO133">
        <v>8</v>
      </c>
      <c r="AP133">
        <v>5</v>
      </c>
      <c r="AQ133">
        <v>2</v>
      </c>
      <c r="AR133">
        <v>2</v>
      </c>
    </row>
    <row r="134" spans="1:44" x14ac:dyDescent="0.3">
      <c r="A134" t="s">
        <v>56</v>
      </c>
      <c r="B134" t="s">
        <v>45</v>
      </c>
      <c r="C134" t="s">
        <v>92</v>
      </c>
      <c r="D134" t="s">
        <v>59</v>
      </c>
      <c r="E134" t="s">
        <v>60</v>
      </c>
      <c r="F134" t="s">
        <v>49</v>
      </c>
      <c r="G134" t="s">
        <v>994</v>
      </c>
      <c r="H134">
        <v>1270</v>
      </c>
      <c r="I134" t="s">
        <v>62</v>
      </c>
      <c r="J134" t="s">
        <v>63</v>
      </c>
      <c r="K134" t="s">
        <v>64</v>
      </c>
      <c r="L134" t="s">
        <v>56</v>
      </c>
      <c r="M134" t="s">
        <v>54</v>
      </c>
      <c r="N134">
        <v>2</v>
      </c>
      <c r="O134">
        <v>-2</v>
      </c>
      <c r="P134">
        <v>0</v>
      </c>
      <c r="Q134">
        <v>23</v>
      </c>
      <c r="R134">
        <v>0</v>
      </c>
      <c r="T134">
        <v>0</v>
      </c>
      <c r="U134">
        <v>1</v>
      </c>
      <c r="V134">
        <v>373</v>
      </c>
      <c r="W134">
        <v>1</v>
      </c>
      <c r="X134" t="s">
        <v>55</v>
      </c>
      <c r="Y134">
        <v>1</v>
      </c>
      <c r="Z134">
        <v>4</v>
      </c>
      <c r="AA134">
        <v>47</v>
      </c>
      <c r="AB134">
        <v>3</v>
      </c>
      <c r="AC134">
        <v>1</v>
      </c>
      <c r="AD134">
        <v>1</v>
      </c>
      <c r="AE134">
        <v>1223</v>
      </c>
      <c r="AF134">
        <v>16901</v>
      </c>
      <c r="AG134">
        <v>1</v>
      </c>
      <c r="AH134">
        <v>22</v>
      </c>
      <c r="AI134">
        <v>4</v>
      </c>
      <c r="AJ134">
        <v>4</v>
      </c>
      <c r="AK134">
        <v>80</v>
      </c>
      <c r="AL134">
        <v>1</v>
      </c>
      <c r="AM134">
        <v>1</v>
      </c>
      <c r="AN134">
        <v>3</v>
      </c>
      <c r="AO134">
        <v>1</v>
      </c>
      <c r="AP134">
        <v>0</v>
      </c>
      <c r="AQ134">
        <v>0</v>
      </c>
      <c r="AR134">
        <v>1</v>
      </c>
    </row>
    <row r="135" spans="1:44" x14ac:dyDescent="0.3">
      <c r="A135" t="s">
        <v>56</v>
      </c>
      <c r="B135" t="s">
        <v>45</v>
      </c>
      <c r="C135" t="s">
        <v>69</v>
      </c>
      <c r="D135" t="s">
        <v>59</v>
      </c>
      <c r="E135" t="s">
        <v>60</v>
      </c>
      <c r="F135" t="s">
        <v>49</v>
      </c>
      <c r="G135" t="s">
        <v>986</v>
      </c>
      <c r="H135">
        <v>1259</v>
      </c>
      <c r="I135" t="s">
        <v>62</v>
      </c>
      <c r="J135" t="s">
        <v>63</v>
      </c>
      <c r="K135" t="s">
        <v>79</v>
      </c>
      <c r="L135" t="s">
        <v>56</v>
      </c>
      <c r="M135" t="s">
        <v>54</v>
      </c>
      <c r="N135">
        <v>2</v>
      </c>
      <c r="O135">
        <v>-2</v>
      </c>
      <c r="P135">
        <v>0</v>
      </c>
      <c r="Q135">
        <v>27</v>
      </c>
      <c r="R135">
        <v>0</v>
      </c>
      <c r="T135">
        <v>0</v>
      </c>
      <c r="U135">
        <v>1</v>
      </c>
      <c r="V135">
        <v>1167</v>
      </c>
      <c r="W135">
        <v>4</v>
      </c>
      <c r="X135" t="s">
        <v>55</v>
      </c>
      <c r="Y135">
        <v>1</v>
      </c>
      <c r="Z135">
        <v>1</v>
      </c>
      <c r="AA135">
        <v>76</v>
      </c>
      <c r="AB135">
        <v>3</v>
      </c>
      <c r="AC135">
        <v>1</v>
      </c>
      <c r="AD135">
        <v>1</v>
      </c>
      <c r="AE135">
        <v>2517</v>
      </c>
      <c r="AF135">
        <v>3208</v>
      </c>
      <c r="AG135">
        <v>1</v>
      </c>
      <c r="AH135">
        <v>11</v>
      </c>
      <c r="AI135">
        <v>3</v>
      </c>
      <c r="AJ135">
        <v>2</v>
      </c>
      <c r="AK135">
        <v>80</v>
      </c>
      <c r="AL135">
        <v>3</v>
      </c>
      <c r="AM135">
        <v>5</v>
      </c>
      <c r="AN135">
        <v>3</v>
      </c>
      <c r="AO135">
        <v>5</v>
      </c>
      <c r="AP135">
        <v>3</v>
      </c>
      <c r="AQ135">
        <v>0</v>
      </c>
      <c r="AR135">
        <v>3</v>
      </c>
    </row>
    <row r="136" spans="1:44" x14ac:dyDescent="0.3">
      <c r="A136" t="s">
        <v>56</v>
      </c>
      <c r="B136" t="s">
        <v>45</v>
      </c>
      <c r="C136" t="s">
        <v>58</v>
      </c>
      <c r="D136" t="s">
        <v>59</v>
      </c>
      <c r="E136" t="s">
        <v>60</v>
      </c>
      <c r="F136" t="s">
        <v>113</v>
      </c>
      <c r="G136" t="s">
        <v>985</v>
      </c>
      <c r="H136">
        <v>1258</v>
      </c>
      <c r="I136" t="s">
        <v>62</v>
      </c>
      <c r="J136" t="s">
        <v>68</v>
      </c>
      <c r="K136" t="s">
        <v>53</v>
      </c>
      <c r="L136" t="s">
        <v>56</v>
      </c>
      <c r="M136" t="s">
        <v>54</v>
      </c>
      <c r="N136">
        <v>4</v>
      </c>
      <c r="O136">
        <v>-2</v>
      </c>
      <c r="P136">
        <v>0</v>
      </c>
      <c r="Q136">
        <v>48</v>
      </c>
      <c r="R136">
        <v>0</v>
      </c>
      <c r="T136">
        <v>0</v>
      </c>
      <c r="U136">
        <v>1</v>
      </c>
      <c r="V136">
        <v>969</v>
      </c>
      <c r="W136">
        <v>2</v>
      </c>
      <c r="X136" t="s">
        <v>55</v>
      </c>
      <c r="Y136">
        <v>1</v>
      </c>
      <c r="Z136">
        <v>4</v>
      </c>
      <c r="AA136">
        <v>76</v>
      </c>
      <c r="AB136">
        <v>4</v>
      </c>
      <c r="AC136">
        <v>1</v>
      </c>
      <c r="AD136">
        <v>4</v>
      </c>
      <c r="AE136">
        <v>2559</v>
      </c>
      <c r="AF136">
        <v>16620</v>
      </c>
      <c r="AG136">
        <v>5</v>
      </c>
      <c r="AH136">
        <v>11</v>
      </c>
      <c r="AI136">
        <v>3</v>
      </c>
      <c r="AJ136">
        <v>3</v>
      </c>
      <c r="AK136">
        <v>80</v>
      </c>
      <c r="AL136">
        <v>0</v>
      </c>
      <c r="AM136">
        <v>7</v>
      </c>
      <c r="AN136">
        <v>2</v>
      </c>
      <c r="AO136">
        <v>1</v>
      </c>
      <c r="AP136">
        <v>0</v>
      </c>
      <c r="AQ136">
        <v>0</v>
      </c>
      <c r="AR136">
        <v>0</v>
      </c>
    </row>
    <row r="137" spans="1:44" x14ac:dyDescent="0.3">
      <c r="A137" t="s">
        <v>56</v>
      </c>
      <c r="B137" t="s">
        <v>45</v>
      </c>
      <c r="C137" t="s">
        <v>58</v>
      </c>
      <c r="D137" t="s">
        <v>59</v>
      </c>
      <c r="E137" t="s">
        <v>60</v>
      </c>
      <c r="F137" t="s">
        <v>72</v>
      </c>
      <c r="G137" t="s">
        <v>983</v>
      </c>
      <c r="H137">
        <v>1256</v>
      </c>
      <c r="I137" t="s">
        <v>62</v>
      </c>
      <c r="J137" t="s">
        <v>95</v>
      </c>
      <c r="K137" t="s">
        <v>64</v>
      </c>
      <c r="L137" t="s">
        <v>56</v>
      </c>
      <c r="M137" t="s">
        <v>54</v>
      </c>
      <c r="N137">
        <v>2</v>
      </c>
      <c r="O137">
        <v>-2</v>
      </c>
      <c r="P137">
        <v>0</v>
      </c>
      <c r="Q137">
        <v>49</v>
      </c>
      <c r="R137">
        <v>0</v>
      </c>
      <c r="T137">
        <v>0</v>
      </c>
      <c r="U137">
        <v>1</v>
      </c>
      <c r="V137">
        <v>1098</v>
      </c>
      <c r="W137">
        <v>4</v>
      </c>
      <c r="X137" t="s">
        <v>55</v>
      </c>
      <c r="Y137">
        <v>1</v>
      </c>
      <c r="Z137">
        <v>1</v>
      </c>
      <c r="AA137">
        <v>85</v>
      </c>
      <c r="AB137">
        <v>2</v>
      </c>
      <c r="AC137">
        <v>5</v>
      </c>
      <c r="AD137">
        <v>3</v>
      </c>
      <c r="AE137">
        <v>18711</v>
      </c>
      <c r="AF137">
        <v>12124</v>
      </c>
      <c r="AG137">
        <v>2</v>
      </c>
      <c r="AH137">
        <v>13</v>
      </c>
      <c r="AI137">
        <v>3</v>
      </c>
      <c r="AJ137">
        <v>3</v>
      </c>
      <c r="AK137">
        <v>80</v>
      </c>
      <c r="AL137">
        <v>1</v>
      </c>
      <c r="AM137">
        <v>23</v>
      </c>
      <c r="AN137">
        <v>4</v>
      </c>
      <c r="AO137">
        <v>1</v>
      </c>
      <c r="AP137">
        <v>0</v>
      </c>
      <c r="AQ137">
        <v>0</v>
      </c>
      <c r="AR137">
        <v>0</v>
      </c>
    </row>
    <row r="138" spans="1:44" x14ac:dyDescent="0.3">
      <c r="A138" t="s">
        <v>56</v>
      </c>
      <c r="B138" t="s">
        <v>45</v>
      </c>
      <c r="C138" t="s">
        <v>69</v>
      </c>
      <c r="D138" t="s">
        <v>59</v>
      </c>
      <c r="E138" t="s">
        <v>60</v>
      </c>
      <c r="F138" t="s">
        <v>72</v>
      </c>
      <c r="G138" t="s">
        <v>979</v>
      </c>
      <c r="H138">
        <v>1251</v>
      </c>
      <c r="I138" t="s">
        <v>62</v>
      </c>
      <c r="J138" t="s">
        <v>83</v>
      </c>
      <c r="K138" t="s">
        <v>64</v>
      </c>
      <c r="L138" t="s">
        <v>44</v>
      </c>
      <c r="M138" t="s">
        <v>54</v>
      </c>
      <c r="N138">
        <v>2</v>
      </c>
      <c r="O138">
        <v>-2</v>
      </c>
      <c r="P138">
        <v>0</v>
      </c>
      <c r="Q138">
        <v>31</v>
      </c>
      <c r="R138">
        <v>0</v>
      </c>
      <c r="T138">
        <v>0</v>
      </c>
      <c r="U138">
        <v>1</v>
      </c>
      <c r="V138">
        <v>1332</v>
      </c>
      <c r="W138">
        <v>11</v>
      </c>
      <c r="X138" t="s">
        <v>55</v>
      </c>
      <c r="Y138">
        <v>1</v>
      </c>
      <c r="Z138">
        <v>3</v>
      </c>
      <c r="AA138">
        <v>80</v>
      </c>
      <c r="AB138">
        <v>3</v>
      </c>
      <c r="AC138">
        <v>2</v>
      </c>
      <c r="AD138">
        <v>3</v>
      </c>
      <c r="AE138">
        <v>6833</v>
      </c>
      <c r="AF138">
        <v>17089</v>
      </c>
      <c r="AG138">
        <v>1</v>
      </c>
      <c r="AH138">
        <v>12</v>
      </c>
      <c r="AI138">
        <v>3</v>
      </c>
      <c r="AJ138">
        <v>4</v>
      </c>
      <c r="AK138">
        <v>80</v>
      </c>
      <c r="AL138">
        <v>0</v>
      </c>
      <c r="AM138">
        <v>6</v>
      </c>
      <c r="AN138">
        <v>2</v>
      </c>
      <c r="AO138">
        <v>6</v>
      </c>
      <c r="AP138">
        <v>5</v>
      </c>
      <c r="AQ138">
        <v>0</v>
      </c>
      <c r="AR138">
        <v>1</v>
      </c>
    </row>
    <row r="139" spans="1:44" x14ac:dyDescent="0.3">
      <c r="A139" t="s">
        <v>56</v>
      </c>
      <c r="B139" t="s">
        <v>45</v>
      </c>
      <c r="C139" t="s">
        <v>46</v>
      </c>
      <c r="D139" t="s">
        <v>59</v>
      </c>
      <c r="E139" t="s">
        <v>60</v>
      </c>
      <c r="F139" t="s">
        <v>72</v>
      </c>
      <c r="G139" t="s">
        <v>219</v>
      </c>
      <c r="H139">
        <v>178</v>
      </c>
      <c r="I139" t="s">
        <v>62</v>
      </c>
      <c r="J139" t="s">
        <v>81</v>
      </c>
      <c r="K139" t="s">
        <v>79</v>
      </c>
      <c r="L139" t="s">
        <v>56</v>
      </c>
      <c r="M139" t="s">
        <v>54</v>
      </c>
      <c r="N139">
        <v>0</v>
      </c>
      <c r="O139">
        <v>-2</v>
      </c>
      <c r="P139">
        <v>0</v>
      </c>
      <c r="Q139">
        <v>36</v>
      </c>
      <c r="R139">
        <v>0</v>
      </c>
      <c r="T139">
        <v>0</v>
      </c>
      <c r="U139">
        <v>1</v>
      </c>
      <c r="V139">
        <v>216</v>
      </c>
      <c r="W139">
        <v>6</v>
      </c>
      <c r="X139" t="s">
        <v>55</v>
      </c>
      <c r="Y139">
        <v>1</v>
      </c>
      <c r="Z139">
        <v>2</v>
      </c>
      <c r="AA139">
        <v>84</v>
      </c>
      <c r="AB139">
        <v>3</v>
      </c>
      <c r="AC139">
        <v>2</v>
      </c>
      <c r="AD139">
        <v>3</v>
      </c>
      <c r="AE139">
        <v>4941</v>
      </c>
      <c r="AF139">
        <v>2819</v>
      </c>
      <c r="AG139">
        <v>6</v>
      </c>
      <c r="AH139">
        <v>20</v>
      </c>
      <c r="AI139">
        <v>4</v>
      </c>
      <c r="AJ139">
        <v>4</v>
      </c>
      <c r="AK139">
        <v>80</v>
      </c>
      <c r="AL139">
        <v>2</v>
      </c>
      <c r="AM139">
        <v>7</v>
      </c>
      <c r="AN139">
        <v>3</v>
      </c>
      <c r="AO139">
        <v>3</v>
      </c>
      <c r="AP139">
        <v>2</v>
      </c>
      <c r="AQ139">
        <v>0</v>
      </c>
      <c r="AR139">
        <v>1</v>
      </c>
    </row>
    <row r="140" spans="1:44" x14ac:dyDescent="0.3">
      <c r="A140" t="s">
        <v>56</v>
      </c>
      <c r="B140" t="s">
        <v>91</v>
      </c>
      <c r="C140" t="s">
        <v>46</v>
      </c>
      <c r="D140" t="s">
        <v>59</v>
      </c>
      <c r="E140" t="s">
        <v>48</v>
      </c>
      <c r="F140" t="s">
        <v>106</v>
      </c>
      <c r="G140" t="s">
        <v>972</v>
      </c>
      <c r="H140">
        <v>1243</v>
      </c>
      <c r="I140" t="s">
        <v>51</v>
      </c>
      <c r="J140" t="s">
        <v>52</v>
      </c>
      <c r="K140" t="s">
        <v>64</v>
      </c>
      <c r="L140" t="s">
        <v>44</v>
      </c>
      <c r="M140" t="s">
        <v>54</v>
      </c>
      <c r="N140">
        <v>6</v>
      </c>
      <c r="O140">
        <v>-2</v>
      </c>
      <c r="P140">
        <v>0</v>
      </c>
      <c r="Q140">
        <v>35</v>
      </c>
      <c r="R140">
        <v>0</v>
      </c>
      <c r="T140">
        <v>0</v>
      </c>
      <c r="U140">
        <v>1</v>
      </c>
      <c r="V140">
        <v>1212</v>
      </c>
      <c r="W140">
        <v>8</v>
      </c>
      <c r="X140" t="s">
        <v>55</v>
      </c>
      <c r="Y140">
        <v>1</v>
      </c>
      <c r="Z140">
        <v>3</v>
      </c>
      <c r="AA140">
        <v>78</v>
      </c>
      <c r="AB140">
        <v>2</v>
      </c>
      <c r="AC140">
        <v>3</v>
      </c>
      <c r="AD140">
        <v>2</v>
      </c>
      <c r="AE140">
        <v>10377</v>
      </c>
      <c r="AF140">
        <v>13755</v>
      </c>
      <c r="AG140">
        <v>4</v>
      </c>
      <c r="AH140">
        <v>11</v>
      </c>
      <c r="AI140">
        <v>3</v>
      </c>
      <c r="AJ140">
        <v>2</v>
      </c>
      <c r="AK140">
        <v>80</v>
      </c>
      <c r="AL140">
        <v>1</v>
      </c>
      <c r="AM140">
        <v>16</v>
      </c>
      <c r="AN140">
        <v>2</v>
      </c>
      <c r="AO140">
        <v>13</v>
      </c>
      <c r="AP140">
        <v>2</v>
      </c>
      <c r="AQ140">
        <v>4</v>
      </c>
      <c r="AR140">
        <v>12</v>
      </c>
    </row>
    <row r="141" spans="1:44" x14ac:dyDescent="0.3">
      <c r="A141" t="s">
        <v>56</v>
      </c>
      <c r="B141" t="s">
        <v>57</v>
      </c>
      <c r="C141" t="s">
        <v>69</v>
      </c>
      <c r="D141" t="s">
        <v>59</v>
      </c>
      <c r="E141" t="s">
        <v>60</v>
      </c>
      <c r="F141" t="s">
        <v>49</v>
      </c>
      <c r="G141" t="s">
        <v>965</v>
      </c>
      <c r="H141">
        <v>1235</v>
      </c>
      <c r="I141" t="s">
        <v>51</v>
      </c>
      <c r="J141" t="s">
        <v>63</v>
      </c>
      <c r="K141" t="s">
        <v>53</v>
      </c>
      <c r="L141" t="s">
        <v>44</v>
      </c>
      <c r="M141" t="s">
        <v>54</v>
      </c>
      <c r="N141">
        <v>2</v>
      </c>
      <c r="O141">
        <v>-2</v>
      </c>
      <c r="P141">
        <v>0</v>
      </c>
      <c r="Q141">
        <v>32</v>
      </c>
      <c r="R141">
        <v>0</v>
      </c>
      <c r="T141">
        <v>0</v>
      </c>
      <c r="U141">
        <v>1</v>
      </c>
      <c r="V141">
        <v>1316</v>
      </c>
      <c r="W141">
        <v>2</v>
      </c>
      <c r="X141" t="s">
        <v>55</v>
      </c>
      <c r="Y141">
        <v>1</v>
      </c>
      <c r="Z141">
        <v>4</v>
      </c>
      <c r="AA141">
        <v>38</v>
      </c>
      <c r="AB141">
        <v>3</v>
      </c>
      <c r="AC141">
        <v>2</v>
      </c>
      <c r="AD141">
        <v>1</v>
      </c>
      <c r="AE141">
        <v>4998</v>
      </c>
      <c r="AF141">
        <v>2338</v>
      </c>
      <c r="AG141">
        <v>4</v>
      </c>
      <c r="AH141">
        <v>14</v>
      </c>
      <c r="AI141">
        <v>3</v>
      </c>
      <c r="AJ141">
        <v>4</v>
      </c>
      <c r="AK141">
        <v>80</v>
      </c>
      <c r="AL141">
        <v>0</v>
      </c>
      <c r="AM141">
        <v>10</v>
      </c>
      <c r="AN141">
        <v>3</v>
      </c>
      <c r="AO141">
        <v>8</v>
      </c>
      <c r="AP141">
        <v>7</v>
      </c>
      <c r="AQ141">
        <v>0</v>
      </c>
      <c r="AR141">
        <v>7</v>
      </c>
    </row>
    <row r="142" spans="1:44" x14ac:dyDescent="0.3">
      <c r="A142" t="s">
        <v>44</v>
      </c>
      <c r="B142" t="s">
        <v>45</v>
      </c>
      <c r="C142" t="s">
        <v>92</v>
      </c>
      <c r="D142" t="s">
        <v>47</v>
      </c>
      <c r="E142" t="s">
        <v>60</v>
      </c>
      <c r="F142" t="s">
        <v>49</v>
      </c>
      <c r="G142" t="s">
        <v>955</v>
      </c>
      <c r="H142">
        <v>1219</v>
      </c>
      <c r="I142" t="s">
        <v>51</v>
      </c>
      <c r="J142" t="s">
        <v>68</v>
      </c>
      <c r="K142" t="s">
        <v>64</v>
      </c>
      <c r="L142" t="s">
        <v>56</v>
      </c>
      <c r="M142" t="s">
        <v>54</v>
      </c>
      <c r="N142">
        <v>3</v>
      </c>
      <c r="O142">
        <v>-2</v>
      </c>
      <c r="P142">
        <v>0</v>
      </c>
      <c r="Q142">
        <v>24</v>
      </c>
      <c r="R142">
        <v>1</v>
      </c>
      <c r="S142">
        <v>1</v>
      </c>
      <c r="T142">
        <v>1</v>
      </c>
      <c r="U142">
        <v>0</v>
      </c>
      <c r="V142">
        <v>984</v>
      </c>
      <c r="W142">
        <v>17</v>
      </c>
      <c r="X142" t="s">
        <v>55</v>
      </c>
      <c r="Y142">
        <v>1</v>
      </c>
      <c r="Z142">
        <v>4</v>
      </c>
      <c r="AA142">
        <v>97</v>
      </c>
      <c r="AB142">
        <v>3</v>
      </c>
      <c r="AC142">
        <v>1</v>
      </c>
      <c r="AD142">
        <v>1</v>
      </c>
      <c r="AE142">
        <v>2210</v>
      </c>
      <c r="AF142">
        <v>3372</v>
      </c>
      <c r="AG142">
        <v>1</v>
      </c>
      <c r="AH142">
        <v>13</v>
      </c>
      <c r="AI142">
        <v>3</v>
      </c>
      <c r="AJ142">
        <v>1</v>
      </c>
      <c r="AK142">
        <v>80</v>
      </c>
      <c r="AL142">
        <v>1</v>
      </c>
      <c r="AM142">
        <v>1</v>
      </c>
      <c r="AN142">
        <v>1</v>
      </c>
      <c r="AO142">
        <v>1</v>
      </c>
      <c r="AP142">
        <v>0</v>
      </c>
      <c r="AQ142">
        <v>0</v>
      </c>
      <c r="AR142">
        <v>0</v>
      </c>
    </row>
    <row r="143" spans="1:44" x14ac:dyDescent="0.3">
      <c r="A143" t="s">
        <v>56</v>
      </c>
      <c r="B143" t="s">
        <v>45</v>
      </c>
      <c r="C143" t="s">
        <v>58</v>
      </c>
      <c r="D143" t="s">
        <v>59</v>
      </c>
      <c r="E143" t="s">
        <v>60</v>
      </c>
      <c r="F143" t="s">
        <v>49</v>
      </c>
      <c r="G143" t="s">
        <v>953</v>
      </c>
      <c r="H143">
        <v>1217</v>
      </c>
      <c r="I143" t="s">
        <v>62</v>
      </c>
      <c r="J143" t="s">
        <v>101</v>
      </c>
      <c r="K143" t="s">
        <v>64</v>
      </c>
      <c r="L143" t="s">
        <v>56</v>
      </c>
      <c r="M143" t="s">
        <v>54</v>
      </c>
      <c r="N143">
        <v>2</v>
      </c>
      <c r="O143">
        <v>-2</v>
      </c>
      <c r="P143">
        <v>0</v>
      </c>
      <c r="Q143">
        <v>46</v>
      </c>
      <c r="R143">
        <v>0</v>
      </c>
      <c r="T143">
        <v>0</v>
      </c>
      <c r="U143">
        <v>1</v>
      </c>
      <c r="V143">
        <v>1450</v>
      </c>
      <c r="W143">
        <v>15</v>
      </c>
      <c r="X143" t="s">
        <v>55</v>
      </c>
      <c r="Y143">
        <v>1</v>
      </c>
      <c r="Z143">
        <v>4</v>
      </c>
      <c r="AA143">
        <v>52</v>
      </c>
      <c r="AB143">
        <v>3</v>
      </c>
      <c r="AC143">
        <v>5</v>
      </c>
      <c r="AD143">
        <v>1</v>
      </c>
      <c r="AE143">
        <v>19081</v>
      </c>
      <c r="AF143">
        <v>10849</v>
      </c>
      <c r="AG143">
        <v>5</v>
      </c>
      <c r="AH143">
        <v>11</v>
      </c>
      <c r="AI143">
        <v>3</v>
      </c>
      <c r="AJ143">
        <v>1</v>
      </c>
      <c r="AK143">
        <v>80</v>
      </c>
      <c r="AL143">
        <v>1</v>
      </c>
      <c r="AM143">
        <v>25</v>
      </c>
      <c r="AN143">
        <v>3</v>
      </c>
      <c r="AO143">
        <v>4</v>
      </c>
      <c r="AP143">
        <v>2</v>
      </c>
      <c r="AQ143">
        <v>0</v>
      </c>
      <c r="AR143">
        <v>3</v>
      </c>
    </row>
    <row r="144" spans="1:44" x14ac:dyDescent="0.3">
      <c r="A144" t="s">
        <v>44</v>
      </c>
      <c r="B144" t="s">
        <v>91</v>
      </c>
      <c r="C144" t="s">
        <v>46</v>
      </c>
      <c r="D144" t="s">
        <v>47</v>
      </c>
      <c r="E144" t="s">
        <v>60</v>
      </c>
      <c r="F144" t="s">
        <v>49</v>
      </c>
      <c r="G144" t="s">
        <v>948</v>
      </c>
      <c r="H144">
        <v>1210</v>
      </c>
      <c r="I144" t="s">
        <v>62</v>
      </c>
      <c r="J144" t="s">
        <v>63</v>
      </c>
      <c r="K144" t="s">
        <v>79</v>
      </c>
      <c r="L144" t="s">
        <v>56</v>
      </c>
      <c r="M144" t="s">
        <v>54</v>
      </c>
      <c r="N144">
        <v>2</v>
      </c>
      <c r="O144">
        <v>-2</v>
      </c>
      <c r="P144">
        <v>0</v>
      </c>
      <c r="Q144">
        <v>41</v>
      </c>
      <c r="R144">
        <v>1</v>
      </c>
      <c r="S144">
        <v>1</v>
      </c>
      <c r="T144">
        <v>1</v>
      </c>
      <c r="U144">
        <v>0</v>
      </c>
      <c r="V144">
        <v>906</v>
      </c>
      <c r="W144">
        <v>5</v>
      </c>
      <c r="X144" t="s">
        <v>55</v>
      </c>
      <c r="Y144">
        <v>1</v>
      </c>
      <c r="Z144">
        <v>1</v>
      </c>
      <c r="AA144">
        <v>95</v>
      </c>
      <c r="AB144">
        <v>2</v>
      </c>
      <c r="AC144">
        <v>1</v>
      </c>
      <c r="AD144">
        <v>1</v>
      </c>
      <c r="AE144">
        <v>2107</v>
      </c>
      <c r="AF144">
        <v>20293</v>
      </c>
      <c r="AG144">
        <v>6</v>
      </c>
      <c r="AH144">
        <v>17</v>
      </c>
      <c r="AI144">
        <v>3</v>
      </c>
      <c r="AJ144">
        <v>1</v>
      </c>
      <c r="AK144">
        <v>80</v>
      </c>
      <c r="AL144">
        <v>1</v>
      </c>
      <c r="AM144">
        <v>5</v>
      </c>
      <c r="AN144">
        <v>1</v>
      </c>
      <c r="AO144">
        <v>1</v>
      </c>
      <c r="AP144">
        <v>0</v>
      </c>
      <c r="AQ144">
        <v>0</v>
      </c>
      <c r="AR144">
        <v>0</v>
      </c>
    </row>
    <row r="145" spans="1:44" x14ac:dyDescent="0.3">
      <c r="A145" t="s">
        <v>56</v>
      </c>
      <c r="B145" t="s">
        <v>45</v>
      </c>
      <c r="C145" t="s">
        <v>58</v>
      </c>
      <c r="D145" t="s">
        <v>59</v>
      </c>
      <c r="E145" t="s">
        <v>60</v>
      </c>
      <c r="F145" t="s">
        <v>72</v>
      </c>
      <c r="G145" t="s">
        <v>942</v>
      </c>
      <c r="H145">
        <v>1201</v>
      </c>
      <c r="I145" t="s">
        <v>51</v>
      </c>
      <c r="J145" t="s">
        <v>95</v>
      </c>
      <c r="K145" t="s">
        <v>79</v>
      </c>
      <c r="L145" t="s">
        <v>56</v>
      </c>
      <c r="M145" t="s">
        <v>54</v>
      </c>
      <c r="N145">
        <v>6</v>
      </c>
      <c r="O145">
        <v>-2</v>
      </c>
      <c r="P145">
        <v>0</v>
      </c>
      <c r="Q145">
        <v>53</v>
      </c>
      <c r="R145">
        <v>0</v>
      </c>
      <c r="T145">
        <v>0</v>
      </c>
      <c r="U145">
        <v>1</v>
      </c>
      <c r="V145">
        <v>1223</v>
      </c>
      <c r="W145">
        <v>7</v>
      </c>
      <c r="X145" t="s">
        <v>55</v>
      </c>
      <c r="Y145">
        <v>1</v>
      </c>
      <c r="Z145">
        <v>4</v>
      </c>
      <c r="AA145">
        <v>50</v>
      </c>
      <c r="AB145">
        <v>3</v>
      </c>
      <c r="AC145">
        <v>5</v>
      </c>
      <c r="AD145">
        <v>3</v>
      </c>
      <c r="AE145">
        <v>18606</v>
      </c>
      <c r="AF145">
        <v>18640</v>
      </c>
      <c r="AG145">
        <v>3</v>
      </c>
      <c r="AH145">
        <v>18</v>
      </c>
      <c r="AI145">
        <v>3</v>
      </c>
      <c r="AJ145">
        <v>2</v>
      </c>
      <c r="AK145">
        <v>80</v>
      </c>
      <c r="AL145">
        <v>1</v>
      </c>
      <c r="AM145">
        <v>26</v>
      </c>
      <c r="AN145">
        <v>3</v>
      </c>
      <c r="AO145">
        <v>7</v>
      </c>
      <c r="AP145">
        <v>7</v>
      </c>
      <c r="AQ145">
        <v>4</v>
      </c>
      <c r="AR145">
        <v>7</v>
      </c>
    </row>
    <row r="146" spans="1:44" x14ac:dyDescent="0.3">
      <c r="A146" t="s">
        <v>56</v>
      </c>
      <c r="B146" t="s">
        <v>45</v>
      </c>
      <c r="C146" t="s">
        <v>92</v>
      </c>
      <c r="D146" t="s">
        <v>59</v>
      </c>
      <c r="E146" t="s">
        <v>60</v>
      </c>
      <c r="F146" t="s">
        <v>49</v>
      </c>
      <c r="G146" t="s">
        <v>937</v>
      </c>
      <c r="H146">
        <v>1193</v>
      </c>
      <c r="I146" t="s">
        <v>62</v>
      </c>
      <c r="J146" t="s">
        <v>63</v>
      </c>
      <c r="K146" t="s">
        <v>53</v>
      </c>
      <c r="L146" t="s">
        <v>56</v>
      </c>
      <c r="M146" t="s">
        <v>54</v>
      </c>
      <c r="N146">
        <v>4</v>
      </c>
      <c r="O146">
        <v>-2</v>
      </c>
      <c r="P146">
        <v>0</v>
      </c>
      <c r="Q146">
        <v>19</v>
      </c>
      <c r="R146">
        <v>0</v>
      </c>
      <c r="T146">
        <v>0</v>
      </c>
      <c r="U146">
        <v>1</v>
      </c>
      <c r="V146">
        <v>645</v>
      </c>
      <c r="W146">
        <v>9</v>
      </c>
      <c r="X146" t="s">
        <v>55</v>
      </c>
      <c r="Y146">
        <v>1</v>
      </c>
      <c r="Z146">
        <v>3</v>
      </c>
      <c r="AA146">
        <v>54</v>
      </c>
      <c r="AB146">
        <v>3</v>
      </c>
      <c r="AC146">
        <v>1</v>
      </c>
      <c r="AD146">
        <v>1</v>
      </c>
      <c r="AE146">
        <v>2552</v>
      </c>
      <c r="AF146">
        <v>7172</v>
      </c>
      <c r="AG146">
        <v>1</v>
      </c>
      <c r="AH146">
        <v>25</v>
      </c>
      <c r="AI146">
        <v>4</v>
      </c>
      <c r="AJ146">
        <v>3</v>
      </c>
      <c r="AK146">
        <v>80</v>
      </c>
      <c r="AL146">
        <v>0</v>
      </c>
      <c r="AM146">
        <v>1</v>
      </c>
      <c r="AN146">
        <v>3</v>
      </c>
      <c r="AO146">
        <v>1</v>
      </c>
      <c r="AP146">
        <v>1</v>
      </c>
      <c r="AQ146">
        <v>0</v>
      </c>
      <c r="AR146">
        <v>0</v>
      </c>
    </row>
    <row r="147" spans="1:44" x14ac:dyDescent="0.3">
      <c r="A147" t="s">
        <v>56</v>
      </c>
      <c r="B147" t="s">
        <v>57</v>
      </c>
      <c r="C147" t="s">
        <v>46</v>
      </c>
      <c r="D147" t="s">
        <v>59</v>
      </c>
      <c r="E147" t="s">
        <v>60</v>
      </c>
      <c r="F147" t="s">
        <v>72</v>
      </c>
      <c r="G147" t="s">
        <v>929</v>
      </c>
      <c r="H147">
        <v>1180</v>
      </c>
      <c r="I147" t="s">
        <v>51</v>
      </c>
      <c r="J147" t="s">
        <v>63</v>
      </c>
      <c r="K147" t="s">
        <v>64</v>
      </c>
      <c r="L147" t="s">
        <v>44</v>
      </c>
      <c r="M147" t="s">
        <v>54</v>
      </c>
      <c r="N147">
        <v>3</v>
      </c>
      <c r="O147">
        <v>-2</v>
      </c>
      <c r="P147">
        <v>0</v>
      </c>
      <c r="Q147">
        <v>40</v>
      </c>
      <c r="R147">
        <v>0</v>
      </c>
      <c r="T147">
        <v>0</v>
      </c>
      <c r="U147">
        <v>1</v>
      </c>
      <c r="V147">
        <v>902</v>
      </c>
      <c r="W147">
        <v>26</v>
      </c>
      <c r="X147" t="s">
        <v>55</v>
      </c>
      <c r="Y147">
        <v>1</v>
      </c>
      <c r="Z147">
        <v>3</v>
      </c>
      <c r="AA147">
        <v>92</v>
      </c>
      <c r="AB147">
        <v>2</v>
      </c>
      <c r="AC147">
        <v>2</v>
      </c>
      <c r="AD147">
        <v>4</v>
      </c>
      <c r="AE147">
        <v>4422</v>
      </c>
      <c r="AF147">
        <v>21203</v>
      </c>
      <c r="AG147">
        <v>3</v>
      </c>
      <c r="AH147">
        <v>13</v>
      </c>
      <c r="AI147">
        <v>3</v>
      </c>
      <c r="AJ147">
        <v>4</v>
      </c>
      <c r="AK147">
        <v>80</v>
      </c>
      <c r="AL147">
        <v>1</v>
      </c>
      <c r="AM147">
        <v>16</v>
      </c>
      <c r="AN147">
        <v>1</v>
      </c>
      <c r="AO147">
        <v>1</v>
      </c>
      <c r="AP147">
        <v>1</v>
      </c>
      <c r="AQ147">
        <v>0</v>
      </c>
      <c r="AR147">
        <v>0</v>
      </c>
    </row>
    <row r="148" spans="1:44" x14ac:dyDescent="0.3">
      <c r="A148" t="s">
        <v>56</v>
      </c>
      <c r="B148" t="s">
        <v>57</v>
      </c>
      <c r="C148" t="s">
        <v>69</v>
      </c>
      <c r="D148" t="s">
        <v>59</v>
      </c>
      <c r="E148" t="s">
        <v>48</v>
      </c>
      <c r="F148" t="s">
        <v>72</v>
      </c>
      <c r="G148" t="s">
        <v>228</v>
      </c>
      <c r="H148">
        <v>195</v>
      </c>
      <c r="I148" t="s">
        <v>62</v>
      </c>
      <c r="J148" t="s">
        <v>52</v>
      </c>
      <c r="K148" t="s">
        <v>79</v>
      </c>
      <c r="L148" t="s">
        <v>56</v>
      </c>
      <c r="M148" t="s">
        <v>54</v>
      </c>
      <c r="N148">
        <v>2</v>
      </c>
      <c r="O148">
        <v>-2</v>
      </c>
      <c r="P148">
        <v>0</v>
      </c>
      <c r="Q148">
        <v>32</v>
      </c>
      <c r="R148">
        <v>0</v>
      </c>
      <c r="T148">
        <v>0</v>
      </c>
      <c r="U148">
        <v>1</v>
      </c>
      <c r="V148">
        <v>689</v>
      </c>
      <c r="W148">
        <v>9</v>
      </c>
      <c r="X148" t="s">
        <v>55</v>
      </c>
      <c r="Y148">
        <v>1</v>
      </c>
      <c r="Z148">
        <v>4</v>
      </c>
      <c r="AA148">
        <v>35</v>
      </c>
      <c r="AB148">
        <v>1</v>
      </c>
      <c r="AC148">
        <v>2</v>
      </c>
      <c r="AD148">
        <v>4</v>
      </c>
      <c r="AE148">
        <v>4668</v>
      </c>
      <c r="AF148">
        <v>22812</v>
      </c>
      <c r="AG148">
        <v>0</v>
      </c>
      <c r="AH148">
        <v>17</v>
      </c>
      <c r="AI148">
        <v>3</v>
      </c>
      <c r="AJ148">
        <v>4</v>
      </c>
      <c r="AK148">
        <v>80</v>
      </c>
      <c r="AL148">
        <v>3</v>
      </c>
      <c r="AM148">
        <v>9</v>
      </c>
      <c r="AN148">
        <v>4</v>
      </c>
      <c r="AO148">
        <v>8</v>
      </c>
      <c r="AP148">
        <v>7</v>
      </c>
      <c r="AQ148">
        <v>0</v>
      </c>
      <c r="AR148">
        <v>7</v>
      </c>
    </row>
    <row r="149" spans="1:44" x14ac:dyDescent="0.3">
      <c r="A149" t="s">
        <v>56</v>
      </c>
      <c r="B149" t="s">
        <v>45</v>
      </c>
      <c r="C149" t="s">
        <v>46</v>
      </c>
      <c r="D149" t="s">
        <v>59</v>
      </c>
      <c r="E149" t="s">
        <v>60</v>
      </c>
      <c r="F149" t="s">
        <v>72</v>
      </c>
      <c r="G149" t="s">
        <v>916</v>
      </c>
      <c r="H149">
        <v>1161</v>
      </c>
      <c r="I149" t="s">
        <v>51</v>
      </c>
      <c r="J149" t="s">
        <v>83</v>
      </c>
      <c r="K149" t="s">
        <v>79</v>
      </c>
      <c r="L149" t="s">
        <v>56</v>
      </c>
      <c r="M149" t="s">
        <v>54</v>
      </c>
      <c r="N149">
        <v>2</v>
      </c>
      <c r="O149">
        <v>-2</v>
      </c>
      <c r="P149">
        <v>0</v>
      </c>
      <c r="Q149">
        <v>37</v>
      </c>
      <c r="R149">
        <v>0</v>
      </c>
      <c r="T149">
        <v>0</v>
      </c>
      <c r="U149">
        <v>1</v>
      </c>
      <c r="V149">
        <v>367</v>
      </c>
      <c r="W149">
        <v>25</v>
      </c>
      <c r="X149" t="s">
        <v>55</v>
      </c>
      <c r="Y149">
        <v>1</v>
      </c>
      <c r="Z149">
        <v>3</v>
      </c>
      <c r="AA149">
        <v>52</v>
      </c>
      <c r="AB149">
        <v>2</v>
      </c>
      <c r="AC149">
        <v>2</v>
      </c>
      <c r="AD149">
        <v>4</v>
      </c>
      <c r="AE149">
        <v>5731</v>
      </c>
      <c r="AF149">
        <v>17171</v>
      </c>
      <c r="AG149">
        <v>7</v>
      </c>
      <c r="AH149">
        <v>13</v>
      </c>
      <c r="AI149">
        <v>3</v>
      </c>
      <c r="AJ149">
        <v>3</v>
      </c>
      <c r="AK149">
        <v>80</v>
      </c>
      <c r="AL149">
        <v>2</v>
      </c>
      <c r="AM149">
        <v>9</v>
      </c>
      <c r="AN149">
        <v>3</v>
      </c>
      <c r="AO149">
        <v>6</v>
      </c>
      <c r="AP149">
        <v>2</v>
      </c>
      <c r="AQ149">
        <v>1</v>
      </c>
      <c r="AR149">
        <v>3</v>
      </c>
    </row>
    <row r="150" spans="1:44" x14ac:dyDescent="0.3">
      <c r="A150" t="s">
        <v>56</v>
      </c>
      <c r="B150" t="s">
        <v>57</v>
      </c>
      <c r="C150" t="s">
        <v>69</v>
      </c>
      <c r="D150" t="s">
        <v>59</v>
      </c>
      <c r="E150" t="s">
        <v>60</v>
      </c>
      <c r="F150" t="s">
        <v>49</v>
      </c>
      <c r="G150" t="s">
        <v>906</v>
      </c>
      <c r="H150">
        <v>1140</v>
      </c>
      <c r="I150" t="s">
        <v>62</v>
      </c>
      <c r="J150" t="s">
        <v>81</v>
      </c>
      <c r="K150" t="s">
        <v>53</v>
      </c>
      <c r="L150" t="s">
        <v>56</v>
      </c>
      <c r="M150" t="s">
        <v>54</v>
      </c>
      <c r="N150">
        <v>3</v>
      </c>
      <c r="O150">
        <v>-2</v>
      </c>
      <c r="P150">
        <v>0</v>
      </c>
      <c r="Q150">
        <v>34</v>
      </c>
      <c r="R150">
        <v>0</v>
      </c>
      <c r="T150">
        <v>0</v>
      </c>
      <c r="U150">
        <v>1</v>
      </c>
      <c r="V150">
        <v>1003</v>
      </c>
      <c r="W150">
        <v>2</v>
      </c>
      <c r="X150" t="s">
        <v>55</v>
      </c>
      <c r="Y150">
        <v>1</v>
      </c>
      <c r="Z150">
        <v>4</v>
      </c>
      <c r="AA150">
        <v>95</v>
      </c>
      <c r="AB150">
        <v>3</v>
      </c>
      <c r="AC150">
        <v>2</v>
      </c>
      <c r="AD150">
        <v>1</v>
      </c>
      <c r="AE150">
        <v>4033</v>
      </c>
      <c r="AF150">
        <v>15834</v>
      </c>
      <c r="AG150">
        <v>2</v>
      </c>
      <c r="AH150">
        <v>11</v>
      </c>
      <c r="AI150">
        <v>3</v>
      </c>
      <c r="AJ150">
        <v>4</v>
      </c>
      <c r="AK150">
        <v>80</v>
      </c>
      <c r="AL150">
        <v>0</v>
      </c>
      <c r="AM150">
        <v>5</v>
      </c>
      <c r="AN150">
        <v>2</v>
      </c>
      <c r="AO150">
        <v>3</v>
      </c>
      <c r="AP150">
        <v>2</v>
      </c>
      <c r="AQ150">
        <v>0</v>
      </c>
      <c r="AR150">
        <v>2</v>
      </c>
    </row>
    <row r="151" spans="1:44" x14ac:dyDescent="0.3">
      <c r="A151" t="s">
        <v>56</v>
      </c>
      <c r="B151" t="s">
        <v>57</v>
      </c>
      <c r="C151" t="s">
        <v>46</v>
      </c>
      <c r="D151" t="s">
        <v>59</v>
      </c>
      <c r="E151" t="s">
        <v>48</v>
      </c>
      <c r="F151" t="s">
        <v>106</v>
      </c>
      <c r="G151" t="s">
        <v>904</v>
      </c>
      <c r="H151">
        <v>1137</v>
      </c>
      <c r="I151" t="s">
        <v>62</v>
      </c>
      <c r="J151" t="s">
        <v>52</v>
      </c>
      <c r="K151" t="s">
        <v>79</v>
      </c>
      <c r="L151" t="s">
        <v>56</v>
      </c>
      <c r="M151" t="s">
        <v>54</v>
      </c>
      <c r="N151">
        <v>3</v>
      </c>
      <c r="O151">
        <v>-2</v>
      </c>
      <c r="P151">
        <v>0</v>
      </c>
      <c r="Q151">
        <v>35</v>
      </c>
      <c r="R151">
        <v>0</v>
      </c>
      <c r="T151">
        <v>0</v>
      </c>
      <c r="U151">
        <v>1</v>
      </c>
      <c r="V151">
        <v>1182</v>
      </c>
      <c r="W151">
        <v>11</v>
      </c>
      <c r="X151" t="s">
        <v>55</v>
      </c>
      <c r="Y151">
        <v>1</v>
      </c>
      <c r="Z151">
        <v>4</v>
      </c>
      <c r="AA151">
        <v>54</v>
      </c>
      <c r="AB151">
        <v>3</v>
      </c>
      <c r="AC151">
        <v>2</v>
      </c>
      <c r="AD151">
        <v>2</v>
      </c>
      <c r="AE151">
        <v>4968</v>
      </c>
      <c r="AF151">
        <v>18500</v>
      </c>
      <c r="AG151">
        <v>1</v>
      </c>
      <c r="AH151">
        <v>11</v>
      </c>
      <c r="AI151">
        <v>3</v>
      </c>
      <c r="AJ151">
        <v>4</v>
      </c>
      <c r="AK151">
        <v>80</v>
      </c>
      <c r="AL151">
        <v>1</v>
      </c>
      <c r="AM151">
        <v>5</v>
      </c>
      <c r="AN151">
        <v>3</v>
      </c>
      <c r="AO151">
        <v>5</v>
      </c>
      <c r="AP151">
        <v>2</v>
      </c>
      <c r="AQ151">
        <v>0</v>
      </c>
      <c r="AR151">
        <v>2</v>
      </c>
    </row>
    <row r="152" spans="1:44" x14ac:dyDescent="0.3">
      <c r="A152" t="s">
        <v>56</v>
      </c>
      <c r="B152" t="s">
        <v>45</v>
      </c>
      <c r="C152" t="s">
        <v>46</v>
      </c>
      <c r="D152" t="s">
        <v>59</v>
      </c>
      <c r="E152" t="s">
        <v>48</v>
      </c>
      <c r="F152" t="s">
        <v>106</v>
      </c>
      <c r="G152" t="s">
        <v>895</v>
      </c>
      <c r="H152">
        <v>1125</v>
      </c>
      <c r="I152" t="s">
        <v>62</v>
      </c>
      <c r="J152" t="s">
        <v>52</v>
      </c>
      <c r="K152" t="s">
        <v>53</v>
      </c>
      <c r="L152" t="s">
        <v>56</v>
      </c>
      <c r="M152" t="s">
        <v>54</v>
      </c>
      <c r="N152">
        <v>2</v>
      </c>
      <c r="O152">
        <v>-2</v>
      </c>
      <c r="P152">
        <v>0</v>
      </c>
      <c r="Q152">
        <v>38</v>
      </c>
      <c r="R152">
        <v>0</v>
      </c>
      <c r="T152">
        <v>0</v>
      </c>
      <c r="U152">
        <v>1</v>
      </c>
      <c r="V152">
        <v>130</v>
      </c>
      <c r="W152">
        <v>2</v>
      </c>
      <c r="X152" t="s">
        <v>55</v>
      </c>
      <c r="Y152">
        <v>1</v>
      </c>
      <c r="Z152">
        <v>4</v>
      </c>
      <c r="AA152">
        <v>32</v>
      </c>
      <c r="AB152">
        <v>3</v>
      </c>
      <c r="AC152">
        <v>3</v>
      </c>
      <c r="AD152">
        <v>2</v>
      </c>
      <c r="AE152">
        <v>7351</v>
      </c>
      <c r="AF152">
        <v>20619</v>
      </c>
      <c r="AG152">
        <v>7</v>
      </c>
      <c r="AH152">
        <v>16</v>
      </c>
      <c r="AI152">
        <v>3</v>
      </c>
      <c r="AJ152">
        <v>3</v>
      </c>
      <c r="AK152">
        <v>80</v>
      </c>
      <c r="AL152">
        <v>0</v>
      </c>
      <c r="AM152">
        <v>10</v>
      </c>
      <c r="AN152">
        <v>3</v>
      </c>
      <c r="AO152">
        <v>1</v>
      </c>
      <c r="AP152">
        <v>0</v>
      </c>
      <c r="AQ152">
        <v>0</v>
      </c>
      <c r="AR152">
        <v>0</v>
      </c>
    </row>
    <row r="153" spans="1:44" x14ac:dyDescent="0.3">
      <c r="A153" t="s">
        <v>56</v>
      </c>
      <c r="B153" t="s">
        <v>45</v>
      </c>
      <c r="C153" t="s">
        <v>46</v>
      </c>
      <c r="D153" t="s">
        <v>59</v>
      </c>
      <c r="E153" t="s">
        <v>60</v>
      </c>
      <c r="F153" t="s">
        <v>72</v>
      </c>
      <c r="G153" t="s">
        <v>883</v>
      </c>
      <c r="H153">
        <v>1109</v>
      </c>
      <c r="I153" t="s">
        <v>62</v>
      </c>
      <c r="J153" t="s">
        <v>95</v>
      </c>
      <c r="K153" t="s">
        <v>64</v>
      </c>
      <c r="L153" t="s">
        <v>56</v>
      </c>
      <c r="M153" t="s">
        <v>54</v>
      </c>
      <c r="N153">
        <v>3</v>
      </c>
      <c r="O153">
        <v>-2</v>
      </c>
      <c r="P153">
        <v>0</v>
      </c>
      <c r="Q153">
        <v>42</v>
      </c>
      <c r="R153">
        <v>0</v>
      </c>
      <c r="T153">
        <v>0</v>
      </c>
      <c r="U153">
        <v>1</v>
      </c>
      <c r="V153">
        <v>469</v>
      </c>
      <c r="W153">
        <v>2</v>
      </c>
      <c r="X153" t="s">
        <v>55</v>
      </c>
      <c r="Y153">
        <v>1</v>
      </c>
      <c r="Z153">
        <v>4</v>
      </c>
      <c r="AA153">
        <v>35</v>
      </c>
      <c r="AB153">
        <v>3</v>
      </c>
      <c r="AC153">
        <v>4</v>
      </c>
      <c r="AD153">
        <v>3</v>
      </c>
      <c r="AE153">
        <v>17665</v>
      </c>
      <c r="AF153">
        <v>14399</v>
      </c>
      <c r="AG153">
        <v>0</v>
      </c>
      <c r="AH153">
        <v>17</v>
      </c>
      <c r="AI153">
        <v>3</v>
      </c>
      <c r="AJ153">
        <v>4</v>
      </c>
      <c r="AK153">
        <v>80</v>
      </c>
      <c r="AL153">
        <v>1</v>
      </c>
      <c r="AM153">
        <v>23</v>
      </c>
      <c r="AN153">
        <v>3</v>
      </c>
      <c r="AO153">
        <v>22</v>
      </c>
      <c r="AP153">
        <v>6</v>
      </c>
      <c r="AQ153">
        <v>13</v>
      </c>
      <c r="AR153">
        <v>7</v>
      </c>
    </row>
    <row r="154" spans="1:44" x14ac:dyDescent="0.3">
      <c r="A154" t="s">
        <v>56</v>
      </c>
      <c r="B154" t="s">
        <v>45</v>
      </c>
      <c r="C154" t="s">
        <v>69</v>
      </c>
      <c r="D154" t="s">
        <v>59</v>
      </c>
      <c r="E154" t="s">
        <v>60</v>
      </c>
      <c r="F154" t="s">
        <v>49</v>
      </c>
      <c r="G154" t="s">
        <v>877</v>
      </c>
      <c r="H154">
        <v>1102</v>
      </c>
      <c r="I154" t="s">
        <v>62</v>
      </c>
      <c r="J154" t="s">
        <v>68</v>
      </c>
      <c r="K154" t="s">
        <v>79</v>
      </c>
      <c r="L154" t="s">
        <v>56</v>
      </c>
      <c r="M154" t="s">
        <v>54</v>
      </c>
      <c r="N154">
        <v>5</v>
      </c>
      <c r="O154">
        <v>-2</v>
      </c>
      <c r="P154">
        <v>0</v>
      </c>
      <c r="Q154">
        <v>28</v>
      </c>
      <c r="R154">
        <v>0</v>
      </c>
      <c r="T154">
        <v>0</v>
      </c>
      <c r="U154">
        <v>1</v>
      </c>
      <c r="V154">
        <v>895</v>
      </c>
      <c r="W154">
        <v>15</v>
      </c>
      <c r="X154" t="s">
        <v>55</v>
      </c>
      <c r="Y154">
        <v>1</v>
      </c>
      <c r="Z154">
        <v>1</v>
      </c>
      <c r="AA154">
        <v>50</v>
      </c>
      <c r="AB154">
        <v>3</v>
      </c>
      <c r="AC154">
        <v>1</v>
      </c>
      <c r="AD154">
        <v>1</v>
      </c>
      <c r="AE154">
        <v>2207</v>
      </c>
      <c r="AF154">
        <v>22482</v>
      </c>
      <c r="AG154">
        <v>1</v>
      </c>
      <c r="AH154">
        <v>16</v>
      </c>
      <c r="AI154">
        <v>3</v>
      </c>
      <c r="AJ154">
        <v>4</v>
      </c>
      <c r="AK154">
        <v>80</v>
      </c>
      <c r="AL154">
        <v>1</v>
      </c>
      <c r="AM154">
        <v>4</v>
      </c>
      <c r="AN154">
        <v>2</v>
      </c>
      <c r="AO154">
        <v>4</v>
      </c>
      <c r="AP154">
        <v>2</v>
      </c>
      <c r="AQ154">
        <v>2</v>
      </c>
      <c r="AR154">
        <v>2</v>
      </c>
    </row>
    <row r="155" spans="1:44" x14ac:dyDescent="0.3">
      <c r="A155" t="s">
        <v>44</v>
      </c>
      <c r="B155" t="s">
        <v>45</v>
      </c>
      <c r="C155" t="s">
        <v>46</v>
      </c>
      <c r="D155" t="s">
        <v>47</v>
      </c>
      <c r="E155" t="s">
        <v>161</v>
      </c>
      <c r="F155" t="s">
        <v>72</v>
      </c>
      <c r="G155" t="s">
        <v>873</v>
      </c>
      <c r="H155">
        <v>1098</v>
      </c>
      <c r="I155" t="s">
        <v>62</v>
      </c>
      <c r="J155" t="s">
        <v>163</v>
      </c>
      <c r="K155" t="s">
        <v>64</v>
      </c>
      <c r="L155" t="s">
        <v>56</v>
      </c>
      <c r="M155" t="s">
        <v>54</v>
      </c>
      <c r="N155">
        <v>1</v>
      </c>
      <c r="O155">
        <v>-2</v>
      </c>
      <c r="P155">
        <v>0</v>
      </c>
      <c r="Q155">
        <v>44</v>
      </c>
      <c r="R155">
        <v>1</v>
      </c>
      <c r="S155">
        <v>1</v>
      </c>
      <c r="T155">
        <v>1</v>
      </c>
      <c r="U155">
        <v>0</v>
      </c>
      <c r="V155">
        <v>1376</v>
      </c>
      <c r="W155">
        <v>1</v>
      </c>
      <c r="X155" t="s">
        <v>55</v>
      </c>
      <c r="Y155">
        <v>1</v>
      </c>
      <c r="Z155">
        <v>2</v>
      </c>
      <c r="AA155">
        <v>91</v>
      </c>
      <c r="AB155">
        <v>2</v>
      </c>
      <c r="AC155">
        <v>3</v>
      </c>
      <c r="AD155">
        <v>3</v>
      </c>
      <c r="AE155">
        <v>10482</v>
      </c>
      <c r="AF155">
        <v>2326</v>
      </c>
      <c r="AG155">
        <v>9</v>
      </c>
      <c r="AH155">
        <v>14</v>
      </c>
      <c r="AI155">
        <v>3</v>
      </c>
      <c r="AJ155">
        <v>4</v>
      </c>
      <c r="AK155">
        <v>80</v>
      </c>
      <c r="AL155">
        <v>1</v>
      </c>
      <c r="AM155">
        <v>24</v>
      </c>
      <c r="AN155">
        <v>3</v>
      </c>
      <c r="AO155">
        <v>20</v>
      </c>
      <c r="AP155">
        <v>6</v>
      </c>
      <c r="AQ155">
        <v>3</v>
      </c>
      <c r="AR155">
        <v>6</v>
      </c>
    </row>
    <row r="156" spans="1:44" x14ac:dyDescent="0.3">
      <c r="A156" t="s">
        <v>56</v>
      </c>
      <c r="B156" t="s">
        <v>45</v>
      </c>
      <c r="C156" t="s">
        <v>58</v>
      </c>
      <c r="D156" t="s">
        <v>59</v>
      </c>
      <c r="E156" t="s">
        <v>48</v>
      </c>
      <c r="F156" t="s">
        <v>106</v>
      </c>
      <c r="G156" t="s">
        <v>236</v>
      </c>
      <c r="H156">
        <v>205</v>
      </c>
      <c r="I156" t="s">
        <v>62</v>
      </c>
      <c r="J156" t="s">
        <v>99</v>
      </c>
      <c r="K156" t="s">
        <v>64</v>
      </c>
      <c r="L156" t="s">
        <v>44</v>
      </c>
      <c r="M156" t="s">
        <v>54</v>
      </c>
      <c r="N156">
        <v>3</v>
      </c>
      <c r="O156">
        <v>-2</v>
      </c>
      <c r="P156">
        <v>0</v>
      </c>
      <c r="Q156">
        <v>53</v>
      </c>
      <c r="R156">
        <v>0</v>
      </c>
      <c r="T156">
        <v>0</v>
      </c>
      <c r="U156">
        <v>1</v>
      </c>
      <c r="V156">
        <v>1436</v>
      </c>
      <c r="W156">
        <v>6</v>
      </c>
      <c r="X156" t="s">
        <v>55</v>
      </c>
      <c r="Y156">
        <v>1</v>
      </c>
      <c r="Z156">
        <v>2</v>
      </c>
      <c r="AA156">
        <v>34</v>
      </c>
      <c r="AB156">
        <v>3</v>
      </c>
      <c r="AC156">
        <v>2</v>
      </c>
      <c r="AD156">
        <v>3</v>
      </c>
      <c r="AE156">
        <v>2306</v>
      </c>
      <c r="AF156">
        <v>16047</v>
      </c>
      <c r="AG156">
        <v>2</v>
      </c>
      <c r="AH156">
        <v>20</v>
      </c>
      <c r="AI156">
        <v>4</v>
      </c>
      <c r="AJ156">
        <v>4</v>
      </c>
      <c r="AK156">
        <v>80</v>
      </c>
      <c r="AL156">
        <v>1</v>
      </c>
      <c r="AM156">
        <v>13</v>
      </c>
      <c r="AN156">
        <v>1</v>
      </c>
      <c r="AO156">
        <v>7</v>
      </c>
      <c r="AP156">
        <v>7</v>
      </c>
      <c r="AQ156">
        <v>4</v>
      </c>
      <c r="AR156">
        <v>5</v>
      </c>
    </row>
    <row r="157" spans="1:44" x14ac:dyDescent="0.3">
      <c r="A157" t="s">
        <v>56</v>
      </c>
      <c r="B157" t="s">
        <v>45</v>
      </c>
      <c r="C157" t="s">
        <v>46</v>
      </c>
      <c r="D157" t="s">
        <v>59</v>
      </c>
      <c r="E157" t="s">
        <v>60</v>
      </c>
      <c r="F157" t="s">
        <v>113</v>
      </c>
      <c r="G157" t="s">
        <v>867</v>
      </c>
      <c r="H157">
        <v>1085</v>
      </c>
      <c r="I157" t="s">
        <v>51</v>
      </c>
      <c r="J157" t="s">
        <v>63</v>
      </c>
      <c r="K157" t="s">
        <v>64</v>
      </c>
      <c r="L157" t="s">
        <v>56</v>
      </c>
      <c r="M157" t="s">
        <v>54</v>
      </c>
      <c r="N157">
        <v>3</v>
      </c>
      <c r="O157">
        <v>-2</v>
      </c>
      <c r="P157">
        <v>0</v>
      </c>
      <c r="Q157">
        <v>41</v>
      </c>
      <c r="R157">
        <v>0</v>
      </c>
      <c r="T157">
        <v>0</v>
      </c>
      <c r="U157">
        <v>1</v>
      </c>
      <c r="V157">
        <v>509</v>
      </c>
      <c r="W157">
        <v>7</v>
      </c>
      <c r="X157" t="s">
        <v>55</v>
      </c>
      <c r="Y157">
        <v>1</v>
      </c>
      <c r="Z157">
        <v>4</v>
      </c>
      <c r="AA157">
        <v>43</v>
      </c>
      <c r="AB157">
        <v>4</v>
      </c>
      <c r="AC157">
        <v>1</v>
      </c>
      <c r="AD157">
        <v>4</v>
      </c>
      <c r="AE157">
        <v>3376</v>
      </c>
      <c r="AF157">
        <v>18863</v>
      </c>
      <c r="AG157">
        <v>1</v>
      </c>
      <c r="AH157">
        <v>13</v>
      </c>
      <c r="AI157">
        <v>3</v>
      </c>
      <c r="AJ157">
        <v>3</v>
      </c>
      <c r="AK157">
        <v>80</v>
      </c>
      <c r="AL157">
        <v>0</v>
      </c>
      <c r="AM157">
        <v>10</v>
      </c>
      <c r="AN157">
        <v>3</v>
      </c>
      <c r="AO157">
        <v>10</v>
      </c>
      <c r="AP157">
        <v>6</v>
      </c>
      <c r="AQ157">
        <v>0</v>
      </c>
      <c r="AR157">
        <v>8</v>
      </c>
    </row>
    <row r="158" spans="1:44" x14ac:dyDescent="0.3">
      <c r="A158" t="s">
        <v>56</v>
      </c>
      <c r="B158" t="s">
        <v>45</v>
      </c>
      <c r="C158" t="s">
        <v>69</v>
      </c>
      <c r="D158" t="s">
        <v>59</v>
      </c>
      <c r="E158" t="s">
        <v>60</v>
      </c>
      <c r="F158" t="s">
        <v>72</v>
      </c>
      <c r="G158" t="s">
        <v>865</v>
      </c>
      <c r="H158">
        <v>1083</v>
      </c>
      <c r="I158" t="s">
        <v>62</v>
      </c>
      <c r="J158" t="s">
        <v>68</v>
      </c>
      <c r="K158" t="s">
        <v>64</v>
      </c>
      <c r="L158" t="s">
        <v>56</v>
      </c>
      <c r="M158" t="s">
        <v>54</v>
      </c>
      <c r="N158">
        <v>2</v>
      </c>
      <c r="O158">
        <v>-2</v>
      </c>
      <c r="P158">
        <v>0</v>
      </c>
      <c r="Q158">
        <v>26</v>
      </c>
      <c r="R158">
        <v>0</v>
      </c>
      <c r="T158">
        <v>0</v>
      </c>
      <c r="U158">
        <v>1</v>
      </c>
      <c r="V158">
        <v>192</v>
      </c>
      <c r="W158">
        <v>1</v>
      </c>
      <c r="X158" t="s">
        <v>55</v>
      </c>
      <c r="Y158">
        <v>1</v>
      </c>
      <c r="Z158">
        <v>1</v>
      </c>
      <c r="AA158">
        <v>59</v>
      </c>
      <c r="AB158">
        <v>2</v>
      </c>
      <c r="AC158">
        <v>1</v>
      </c>
      <c r="AD158">
        <v>3</v>
      </c>
      <c r="AE158">
        <v>3955</v>
      </c>
      <c r="AF158">
        <v>11141</v>
      </c>
      <c r="AG158">
        <v>1</v>
      </c>
      <c r="AH158">
        <v>16</v>
      </c>
      <c r="AI158">
        <v>3</v>
      </c>
      <c r="AJ158">
        <v>1</v>
      </c>
      <c r="AK158">
        <v>80</v>
      </c>
      <c r="AL158">
        <v>2</v>
      </c>
      <c r="AM158">
        <v>6</v>
      </c>
      <c r="AN158">
        <v>3</v>
      </c>
      <c r="AO158">
        <v>5</v>
      </c>
      <c r="AP158">
        <v>3</v>
      </c>
      <c r="AQ158">
        <v>1</v>
      </c>
      <c r="AR158">
        <v>3</v>
      </c>
    </row>
    <row r="159" spans="1:44" x14ac:dyDescent="0.3">
      <c r="A159" t="s">
        <v>44</v>
      </c>
      <c r="B159" t="s">
        <v>91</v>
      </c>
      <c r="C159" t="s">
        <v>69</v>
      </c>
      <c r="D159" t="s">
        <v>47</v>
      </c>
      <c r="E159" t="s">
        <v>60</v>
      </c>
      <c r="F159" t="s">
        <v>113</v>
      </c>
      <c r="G159" t="s">
        <v>864</v>
      </c>
      <c r="H159">
        <v>1082</v>
      </c>
      <c r="I159" t="s">
        <v>62</v>
      </c>
      <c r="J159" t="s">
        <v>83</v>
      </c>
      <c r="K159" t="s">
        <v>53</v>
      </c>
      <c r="L159" t="s">
        <v>56</v>
      </c>
      <c r="M159" t="s">
        <v>54</v>
      </c>
      <c r="N159">
        <v>2</v>
      </c>
      <c r="O159">
        <v>-2</v>
      </c>
      <c r="P159">
        <v>0</v>
      </c>
      <c r="Q159">
        <v>28</v>
      </c>
      <c r="R159">
        <v>1</v>
      </c>
      <c r="S159">
        <v>1</v>
      </c>
      <c r="T159">
        <v>1</v>
      </c>
      <c r="U159">
        <v>0</v>
      </c>
      <c r="V159">
        <v>1366</v>
      </c>
      <c r="W159">
        <v>24</v>
      </c>
      <c r="X159" t="s">
        <v>55</v>
      </c>
      <c r="Y159">
        <v>1</v>
      </c>
      <c r="Z159">
        <v>4</v>
      </c>
      <c r="AA159">
        <v>72</v>
      </c>
      <c r="AB159">
        <v>2</v>
      </c>
      <c r="AC159">
        <v>3</v>
      </c>
      <c r="AD159">
        <v>4</v>
      </c>
      <c r="AE159">
        <v>8722</v>
      </c>
      <c r="AF159">
        <v>12355</v>
      </c>
      <c r="AG159">
        <v>1</v>
      </c>
      <c r="AH159">
        <v>12</v>
      </c>
      <c r="AI159">
        <v>3</v>
      </c>
      <c r="AJ159">
        <v>1</v>
      </c>
      <c r="AK159">
        <v>80</v>
      </c>
      <c r="AL159">
        <v>0</v>
      </c>
      <c r="AM159">
        <v>10</v>
      </c>
      <c r="AN159">
        <v>2</v>
      </c>
      <c r="AO159">
        <v>10</v>
      </c>
      <c r="AP159">
        <v>7</v>
      </c>
      <c r="AQ159">
        <v>1</v>
      </c>
      <c r="AR159">
        <v>9</v>
      </c>
    </row>
    <row r="160" spans="1:44" x14ac:dyDescent="0.3">
      <c r="A160" t="s">
        <v>56</v>
      </c>
      <c r="B160" t="s">
        <v>45</v>
      </c>
      <c r="C160" t="s">
        <v>75</v>
      </c>
      <c r="D160" t="s">
        <v>59</v>
      </c>
      <c r="E160" t="s">
        <v>48</v>
      </c>
      <c r="F160" t="s">
        <v>113</v>
      </c>
      <c r="G160" t="s">
        <v>842</v>
      </c>
      <c r="H160">
        <v>1048</v>
      </c>
      <c r="I160" t="s">
        <v>62</v>
      </c>
      <c r="J160" t="s">
        <v>95</v>
      </c>
      <c r="K160" t="s">
        <v>64</v>
      </c>
      <c r="L160" t="s">
        <v>44</v>
      </c>
      <c r="M160" t="s">
        <v>54</v>
      </c>
      <c r="N160">
        <v>1</v>
      </c>
      <c r="O160">
        <v>-2</v>
      </c>
      <c r="P160">
        <v>0</v>
      </c>
      <c r="Q160">
        <v>59</v>
      </c>
      <c r="R160">
        <v>0</v>
      </c>
      <c r="T160">
        <v>0</v>
      </c>
      <c r="U160">
        <v>1</v>
      </c>
      <c r="V160">
        <v>1089</v>
      </c>
      <c r="W160">
        <v>1</v>
      </c>
      <c r="X160" t="s">
        <v>55</v>
      </c>
      <c r="Y160">
        <v>1</v>
      </c>
      <c r="Z160">
        <v>4</v>
      </c>
      <c r="AA160">
        <v>66</v>
      </c>
      <c r="AB160">
        <v>3</v>
      </c>
      <c r="AC160">
        <v>3</v>
      </c>
      <c r="AD160">
        <v>4</v>
      </c>
      <c r="AE160">
        <v>11904</v>
      </c>
      <c r="AF160">
        <v>11038</v>
      </c>
      <c r="AG160">
        <v>3</v>
      </c>
      <c r="AH160">
        <v>14</v>
      </c>
      <c r="AI160">
        <v>3</v>
      </c>
      <c r="AJ160">
        <v>3</v>
      </c>
      <c r="AK160">
        <v>80</v>
      </c>
      <c r="AL160">
        <v>1</v>
      </c>
      <c r="AM160">
        <v>14</v>
      </c>
      <c r="AN160">
        <v>1</v>
      </c>
      <c r="AO160">
        <v>6</v>
      </c>
      <c r="AP160">
        <v>4</v>
      </c>
      <c r="AQ160">
        <v>0</v>
      </c>
      <c r="AR160">
        <v>4</v>
      </c>
    </row>
    <row r="161" spans="1:44" x14ac:dyDescent="0.3">
      <c r="A161" t="s">
        <v>56</v>
      </c>
      <c r="B161" t="s">
        <v>45</v>
      </c>
      <c r="C161" t="s">
        <v>58</v>
      </c>
      <c r="D161" t="s">
        <v>59</v>
      </c>
      <c r="E161" t="s">
        <v>48</v>
      </c>
      <c r="F161" t="s">
        <v>49</v>
      </c>
      <c r="G161" t="s">
        <v>839</v>
      </c>
      <c r="H161">
        <v>1045</v>
      </c>
      <c r="I161" t="s">
        <v>51</v>
      </c>
      <c r="J161" t="s">
        <v>95</v>
      </c>
      <c r="K161" t="s">
        <v>64</v>
      </c>
      <c r="L161" t="s">
        <v>56</v>
      </c>
      <c r="M161" t="s">
        <v>54</v>
      </c>
      <c r="N161">
        <v>4</v>
      </c>
      <c r="O161">
        <v>-2</v>
      </c>
      <c r="P161">
        <v>0</v>
      </c>
      <c r="Q161">
        <v>45</v>
      </c>
      <c r="R161">
        <v>0</v>
      </c>
      <c r="T161">
        <v>0</v>
      </c>
      <c r="U161">
        <v>1</v>
      </c>
      <c r="V161">
        <v>1234</v>
      </c>
      <c r="W161">
        <v>11</v>
      </c>
      <c r="X161" t="s">
        <v>55</v>
      </c>
      <c r="Y161">
        <v>1</v>
      </c>
      <c r="Z161">
        <v>4</v>
      </c>
      <c r="AA161">
        <v>90</v>
      </c>
      <c r="AB161">
        <v>3</v>
      </c>
      <c r="AC161">
        <v>4</v>
      </c>
      <c r="AD161">
        <v>1</v>
      </c>
      <c r="AE161">
        <v>17650</v>
      </c>
      <c r="AF161">
        <v>5404</v>
      </c>
      <c r="AG161">
        <v>3</v>
      </c>
      <c r="AH161">
        <v>13</v>
      </c>
      <c r="AI161">
        <v>3</v>
      </c>
      <c r="AJ161">
        <v>2</v>
      </c>
      <c r="AK161">
        <v>80</v>
      </c>
      <c r="AL161">
        <v>1</v>
      </c>
      <c r="AM161">
        <v>26</v>
      </c>
      <c r="AN161">
        <v>4</v>
      </c>
      <c r="AO161">
        <v>9</v>
      </c>
      <c r="AP161">
        <v>3</v>
      </c>
      <c r="AQ161">
        <v>1</v>
      </c>
      <c r="AR161">
        <v>1</v>
      </c>
    </row>
    <row r="162" spans="1:44" x14ac:dyDescent="0.3">
      <c r="A162" t="s">
        <v>44</v>
      </c>
      <c r="B162" t="s">
        <v>91</v>
      </c>
      <c r="C162" t="s">
        <v>69</v>
      </c>
      <c r="D162" t="s">
        <v>47</v>
      </c>
      <c r="E162" t="s">
        <v>48</v>
      </c>
      <c r="F162" t="s">
        <v>72</v>
      </c>
      <c r="G162" t="s">
        <v>832</v>
      </c>
      <c r="H162">
        <v>1037</v>
      </c>
      <c r="I162" t="s">
        <v>62</v>
      </c>
      <c r="J162" t="s">
        <v>52</v>
      </c>
      <c r="K162" t="s">
        <v>53</v>
      </c>
      <c r="L162" t="s">
        <v>56</v>
      </c>
      <c r="M162" t="s">
        <v>54</v>
      </c>
      <c r="N162">
        <v>6</v>
      </c>
      <c r="O162">
        <v>-2</v>
      </c>
      <c r="P162">
        <v>0</v>
      </c>
      <c r="Q162">
        <v>26</v>
      </c>
      <c r="R162">
        <v>1</v>
      </c>
      <c r="S162">
        <v>1</v>
      </c>
      <c r="T162">
        <v>1</v>
      </c>
      <c r="U162">
        <v>0</v>
      </c>
      <c r="V162">
        <v>265</v>
      </c>
      <c r="W162">
        <v>29</v>
      </c>
      <c r="X162" t="s">
        <v>55</v>
      </c>
      <c r="Y162">
        <v>1</v>
      </c>
      <c r="Z162">
        <v>2</v>
      </c>
      <c r="AA162">
        <v>79</v>
      </c>
      <c r="AB162">
        <v>1</v>
      </c>
      <c r="AC162">
        <v>2</v>
      </c>
      <c r="AD162">
        <v>3</v>
      </c>
      <c r="AE162">
        <v>4969</v>
      </c>
      <c r="AF162">
        <v>21813</v>
      </c>
      <c r="AG162">
        <v>8</v>
      </c>
      <c r="AH162">
        <v>18</v>
      </c>
      <c r="AI162">
        <v>3</v>
      </c>
      <c r="AJ162">
        <v>4</v>
      </c>
      <c r="AK162">
        <v>80</v>
      </c>
      <c r="AL162">
        <v>0</v>
      </c>
      <c r="AM162">
        <v>7</v>
      </c>
      <c r="AN162">
        <v>3</v>
      </c>
      <c r="AO162">
        <v>2</v>
      </c>
      <c r="AP162">
        <v>2</v>
      </c>
      <c r="AQ162">
        <v>2</v>
      </c>
      <c r="AR162">
        <v>2</v>
      </c>
    </row>
    <row r="163" spans="1:44" x14ac:dyDescent="0.3">
      <c r="A163" t="s">
        <v>44</v>
      </c>
      <c r="B163" t="s">
        <v>45</v>
      </c>
      <c r="C163" t="s">
        <v>46</v>
      </c>
      <c r="D163" t="s">
        <v>47</v>
      </c>
      <c r="E163" t="s">
        <v>60</v>
      </c>
      <c r="F163" t="s">
        <v>72</v>
      </c>
      <c r="G163" t="s">
        <v>828</v>
      </c>
      <c r="H163">
        <v>1033</v>
      </c>
      <c r="I163" t="s">
        <v>51</v>
      </c>
      <c r="J163" t="s">
        <v>83</v>
      </c>
      <c r="K163" t="s">
        <v>64</v>
      </c>
      <c r="L163" t="s">
        <v>56</v>
      </c>
      <c r="M163" t="s">
        <v>54</v>
      </c>
      <c r="N163">
        <v>2</v>
      </c>
      <c r="O163">
        <v>-2</v>
      </c>
      <c r="P163">
        <v>0</v>
      </c>
      <c r="Q163">
        <v>37</v>
      </c>
      <c r="R163">
        <v>1</v>
      </c>
      <c r="S163">
        <v>1</v>
      </c>
      <c r="T163">
        <v>1</v>
      </c>
      <c r="U163">
        <v>0</v>
      </c>
      <c r="V163">
        <v>1141</v>
      </c>
      <c r="W163">
        <v>11</v>
      </c>
      <c r="X163" t="s">
        <v>55</v>
      </c>
      <c r="Y163">
        <v>1</v>
      </c>
      <c r="Z163">
        <v>1</v>
      </c>
      <c r="AA163">
        <v>61</v>
      </c>
      <c r="AB163">
        <v>1</v>
      </c>
      <c r="AC163">
        <v>2</v>
      </c>
      <c r="AD163">
        <v>3</v>
      </c>
      <c r="AE163">
        <v>4777</v>
      </c>
      <c r="AF163">
        <v>14382</v>
      </c>
      <c r="AG163">
        <v>5</v>
      </c>
      <c r="AH163">
        <v>15</v>
      </c>
      <c r="AI163">
        <v>3</v>
      </c>
      <c r="AJ163">
        <v>1</v>
      </c>
      <c r="AK163">
        <v>80</v>
      </c>
      <c r="AL163">
        <v>0</v>
      </c>
      <c r="AM163">
        <v>15</v>
      </c>
      <c r="AN163">
        <v>1</v>
      </c>
      <c r="AO163">
        <v>1</v>
      </c>
      <c r="AP163">
        <v>0</v>
      </c>
      <c r="AQ163">
        <v>0</v>
      </c>
      <c r="AR163">
        <v>0</v>
      </c>
    </row>
    <row r="164" spans="1:44" x14ac:dyDescent="0.3">
      <c r="A164" t="s">
        <v>56</v>
      </c>
      <c r="B164" t="s">
        <v>45</v>
      </c>
      <c r="C164" t="s">
        <v>46</v>
      </c>
      <c r="D164" t="s">
        <v>59</v>
      </c>
      <c r="E164" t="s">
        <v>48</v>
      </c>
      <c r="F164" t="s">
        <v>106</v>
      </c>
      <c r="G164" t="s">
        <v>825</v>
      </c>
      <c r="H164">
        <v>1029</v>
      </c>
      <c r="I164" t="s">
        <v>62</v>
      </c>
      <c r="J164" t="s">
        <v>95</v>
      </c>
      <c r="K164" t="s">
        <v>64</v>
      </c>
      <c r="L164" t="s">
        <v>56</v>
      </c>
      <c r="M164" t="s">
        <v>54</v>
      </c>
      <c r="N164">
        <v>3</v>
      </c>
      <c r="O164">
        <v>-2</v>
      </c>
      <c r="P164">
        <v>0</v>
      </c>
      <c r="Q164">
        <v>42</v>
      </c>
      <c r="R164">
        <v>0</v>
      </c>
      <c r="T164">
        <v>0</v>
      </c>
      <c r="U164">
        <v>1</v>
      </c>
      <c r="V164">
        <v>265</v>
      </c>
      <c r="W164">
        <v>5</v>
      </c>
      <c r="X164" t="s">
        <v>55</v>
      </c>
      <c r="Y164">
        <v>1</v>
      </c>
      <c r="Z164">
        <v>4</v>
      </c>
      <c r="AA164">
        <v>90</v>
      </c>
      <c r="AB164">
        <v>3</v>
      </c>
      <c r="AC164">
        <v>5</v>
      </c>
      <c r="AD164">
        <v>2</v>
      </c>
      <c r="AE164">
        <v>18303</v>
      </c>
      <c r="AF164">
        <v>7770</v>
      </c>
      <c r="AG164">
        <v>6</v>
      </c>
      <c r="AH164">
        <v>13</v>
      </c>
      <c r="AI164">
        <v>3</v>
      </c>
      <c r="AJ164">
        <v>2</v>
      </c>
      <c r="AK164">
        <v>80</v>
      </c>
      <c r="AL164">
        <v>0</v>
      </c>
      <c r="AM164">
        <v>21</v>
      </c>
      <c r="AN164">
        <v>4</v>
      </c>
      <c r="AO164">
        <v>1</v>
      </c>
      <c r="AP164">
        <v>0</v>
      </c>
      <c r="AQ164">
        <v>0</v>
      </c>
      <c r="AR164">
        <v>0</v>
      </c>
    </row>
    <row r="165" spans="1:44" x14ac:dyDescent="0.3">
      <c r="A165" t="s">
        <v>56</v>
      </c>
      <c r="B165" t="s">
        <v>45</v>
      </c>
      <c r="C165" t="s">
        <v>46</v>
      </c>
      <c r="D165" t="s">
        <v>59</v>
      </c>
      <c r="E165" t="s">
        <v>60</v>
      </c>
      <c r="F165" t="s">
        <v>72</v>
      </c>
      <c r="G165" t="s">
        <v>821</v>
      </c>
      <c r="H165">
        <v>1025</v>
      </c>
      <c r="I165" t="s">
        <v>51</v>
      </c>
      <c r="J165" t="s">
        <v>81</v>
      </c>
      <c r="K165" t="s">
        <v>53</v>
      </c>
      <c r="L165" t="s">
        <v>56</v>
      </c>
      <c r="M165" t="s">
        <v>54</v>
      </c>
      <c r="N165">
        <v>6</v>
      </c>
      <c r="O165">
        <v>-2</v>
      </c>
      <c r="P165">
        <v>0</v>
      </c>
      <c r="Q165">
        <v>41</v>
      </c>
      <c r="R165">
        <v>0</v>
      </c>
      <c r="T165">
        <v>0</v>
      </c>
      <c r="U165">
        <v>1</v>
      </c>
      <c r="V165">
        <v>549</v>
      </c>
      <c r="W165">
        <v>7</v>
      </c>
      <c r="X165" t="s">
        <v>55</v>
      </c>
      <c r="Y165">
        <v>1</v>
      </c>
      <c r="Z165">
        <v>4</v>
      </c>
      <c r="AA165">
        <v>42</v>
      </c>
      <c r="AB165">
        <v>3</v>
      </c>
      <c r="AC165">
        <v>2</v>
      </c>
      <c r="AD165">
        <v>3</v>
      </c>
      <c r="AE165">
        <v>5003</v>
      </c>
      <c r="AF165">
        <v>23371</v>
      </c>
      <c r="AG165">
        <v>6</v>
      </c>
      <c r="AH165">
        <v>14</v>
      </c>
      <c r="AI165">
        <v>3</v>
      </c>
      <c r="AJ165">
        <v>2</v>
      </c>
      <c r="AK165">
        <v>80</v>
      </c>
      <c r="AL165">
        <v>0</v>
      </c>
      <c r="AM165">
        <v>8</v>
      </c>
      <c r="AN165">
        <v>3</v>
      </c>
      <c r="AO165">
        <v>2</v>
      </c>
      <c r="AP165">
        <v>2</v>
      </c>
      <c r="AQ165">
        <v>2</v>
      </c>
      <c r="AR165">
        <v>1</v>
      </c>
    </row>
    <row r="166" spans="1:44" x14ac:dyDescent="0.3">
      <c r="A166" t="s">
        <v>56</v>
      </c>
      <c r="B166" t="s">
        <v>45</v>
      </c>
      <c r="C166" t="s">
        <v>69</v>
      </c>
      <c r="D166" t="s">
        <v>59</v>
      </c>
      <c r="E166" t="s">
        <v>60</v>
      </c>
      <c r="F166" t="s">
        <v>72</v>
      </c>
      <c r="G166" t="s">
        <v>817</v>
      </c>
      <c r="H166">
        <v>1018</v>
      </c>
      <c r="I166" t="s">
        <v>62</v>
      </c>
      <c r="J166" t="s">
        <v>81</v>
      </c>
      <c r="K166" t="s">
        <v>64</v>
      </c>
      <c r="L166" t="s">
        <v>56</v>
      </c>
      <c r="M166" t="s">
        <v>54</v>
      </c>
      <c r="N166">
        <v>2</v>
      </c>
      <c r="O166">
        <v>-2</v>
      </c>
      <c r="P166">
        <v>0</v>
      </c>
      <c r="Q166">
        <v>26</v>
      </c>
      <c r="R166">
        <v>0</v>
      </c>
      <c r="T166">
        <v>0</v>
      </c>
      <c r="U166">
        <v>1</v>
      </c>
      <c r="V166">
        <v>1066</v>
      </c>
      <c r="W166">
        <v>2</v>
      </c>
      <c r="X166" t="s">
        <v>55</v>
      </c>
      <c r="Y166">
        <v>1</v>
      </c>
      <c r="Z166">
        <v>4</v>
      </c>
      <c r="AA166">
        <v>32</v>
      </c>
      <c r="AB166">
        <v>4</v>
      </c>
      <c r="AC166">
        <v>2</v>
      </c>
      <c r="AD166">
        <v>4</v>
      </c>
      <c r="AE166">
        <v>5472</v>
      </c>
      <c r="AF166">
        <v>3334</v>
      </c>
      <c r="AG166">
        <v>1</v>
      </c>
      <c r="AH166">
        <v>12</v>
      </c>
      <c r="AI166">
        <v>3</v>
      </c>
      <c r="AJ166">
        <v>2</v>
      </c>
      <c r="AK166">
        <v>80</v>
      </c>
      <c r="AL166">
        <v>0</v>
      </c>
      <c r="AM166">
        <v>8</v>
      </c>
      <c r="AN166">
        <v>3</v>
      </c>
      <c r="AO166">
        <v>8</v>
      </c>
      <c r="AP166">
        <v>7</v>
      </c>
      <c r="AQ166">
        <v>1</v>
      </c>
      <c r="AR166">
        <v>3</v>
      </c>
    </row>
    <row r="167" spans="1:44" x14ac:dyDescent="0.3">
      <c r="A167" t="s">
        <v>56</v>
      </c>
      <c r="B167" t="s">
        <v>45</v>
      </c>
      <c r="C167" t="s">
        <v>75</v>
      </c>
      <c r="D167" t="s">
        <v>59</v>
      </c>
      <c r="E167" t="s">
        <v>60</v>
      </c>
      <c r="F167" t="s">
        <v>49</v>
      </c>
      <c r="G167" t="s">
        <v>247</v>
      </c>
      <c r="H167">
        <v>223</v>
      </c>
      <c r="I167" t="s">
        <v>62</v>
      </c>
      <c r="J167" t="s">
        <v>83</v>
      </c>
      <c r="K167" t="s">
        <v>79</v>
      </c>
      <c r="L167" t="s">
        <v>44</v>
      </c>
      <c r="M167" t="s">
        <v>54</v>
      </c>
      <c r="N167">
        <v>2</v>
      </c>
      <c r="O167">
        <v>-2</v>
      </c>
      <c r="P167">
        <v>0</v>
      </c>
      <c r="Q167">
        <v>57</v>
      </c>
      <c r="R167">
        <v>0</v>
      </c>
      <c r="T167">
        <v>0</v>
      </c>
      <c r="U167">
        <v>1</v>
      </c>
      <c r="V167">
        <v>334</v>
      </c>
      <c r="W167">
        <v>24</v>
      </c>
      <c r="X167" t="s">
        <v>55</v>
      </c>
      <c r="Y167">
        <v>1</v>
      </c>
      <c r="Z167">
        <v>3</v>
      </c>
      <c r="AA167">
        <v>83</v>
      </c>
      <c r="AB167">
        <v>4</v>
      </c>
      <c r="AC167">
        <v>3</v>
      </c>
      <c r="AD167">
        <v>2</v>
      </c>
      <c r="AE167">
        <v>9439</v>
      </c>
      <c r="AF167">
        <v>23402</v>
      </c>
      <c r="AG167">
        <v>3</v>
      </c>
      <c r="AH167">
        <v>16</v>
      </c>
      <c r="AI167">
        <v>3</v>
      </c>
      <c r="AJ167">
        <v>2</v>
      </c>
      <c r="AK167">
        <v>80</v>
      </c>
      <c r="AL167">
        <v>1</v>
      </c>
      <c r="AM167">
        <v>12</v>
      </c>
      <c r="AN167">
        <v>1</v>
      </c>
      <c r="AO167">
        <v>5</v>
      </c>
      <c r="AP167">
        <v>3</v>
      </c>
      <c r="AQ167">
        <v>1</v>
      </c>
      <c r="AR167">
        <v>4</v>
      </c>
    </row>
    <row r="168" spans="1:44" x14ac:dyDescent="0.3">
      <c r="A168" t="s">
        <v>56</v>
      </c>
      <c r="B168" t="s">
        <v>45</v>
      </c>
      <c r="C168" t="s">
        <v>69</v>
      </c>
      <c r="D168" t="s">
        <v>59</v>
      </c>
      <c r="E168" t="s">
        <v>60</v>
      </c>
      <c r="F168" t="s">
        <v>49</v>
      </c>
      <c r="G168" t="s">
        <v>814</v>
      </c>
      <c r="H168">
        <v>1015</v>
      </c>
      <c r="I168" t="s">
        <v>51</v>
      </c>
      <c r="J168" t="s">
        <v>101</v>
      </c>
      <c r="K168" t="s">
        <v>64</v>
      </c>
      <c r="L168" t="s">
        <v>44</v>
      </c>
      <c r="M168" t="s">
        <v>54</v>
      </c>
      <c r="N168">
        <v>4</v>
      </c>
      <c r="O168">
        <v>-2</v>
      </c>
      <c r="P168">
        <v>0</v>
      </c>
      <c r="Q168">
        <v>30</v>
      </c>
      <c r="R168">
        <v>0</v>
      </c>
      <c r="T168">
        <v>0</v>
      </c>
      <c r="U168">
        <v>1</v>
      </c>
      <c r="V168">
        <v>153</v>
      </c>
      <c r="W168">
        <v>8</v>
      </c>
      <c r="X168" t="s">
        <v>55</v>
      </c>
      <c r="Y168">
        <v>1</v>
      </c>
      <c r="Z168">
        <v>2</v>
      </c>
      <c r="AA168">
        <v>73</v>
      </c>
      <c r="AB168">
        <v>4</v>
      </c>
      <c r="AC168">
        <v>3</v>
      </c>
      <c r="AD168">
        <v>1</v>
      </c>
      <c r="AE168">
        <v>11416</v>
      </c>
      <c r="AF168">
        <v>17802</v>
      </c>
      <c r="AG168">
        <v>0</v>
      </c>
      <c r="AH168">
        <v>12</v>
      </c>
      <c r="AI168">
        <v>3</v>
      </c>
      <c r="AJ168">
        <v>3</v>
      </c>
      <c r="AK168">
        <v>80</v>
      </c>
      <c r="AL168">
        <v>3</v>
      </c>
      <c r="AM168">
        <v>9</v>
      </c>
      <c r="AN168">
        <v>2</v>
      </c>
      <c r="AO168">
        <v>8</v>
      </c>
      <c r="AP168">
        <v>7</v>
      </c>
      <c r="AQ168">
        <v>1</v>
      </c>
      <c r="AR168">
        <v>7</v>
      </c>
    </row>
    <row r="169" spans="1:44" x14ac:dyDescent="0.3">
      <c r="A169" t="s">
        <v>56</v>
      </c>
      <c r="B169" t="s">
        <v>91</v>
      </c>
      <c r="C169" t="s">
        <v>92</v>
      </c>
      <c r="D169" t="s">
        <v>59</v>
      </c>
      <c r="E169" t="s">
        <v>60</v>
      </c>
      <c r="F169" t="s">
        <v>49</v>
      </c>
      <c r="G169" t="s">
        <v>811</v>
      </c>
      <c r="H169">
        <v>1012</v>
      </c>
      <c r="I169" t="s">
        <v>62</v>
      </c>
      <c r="J169" t="s">
        <v>63</v>
      </c>
      <c r="K169" t="s">
        <v>53</v>
      </c>
      <c r="L169" t="s">
        <v>56</v>
      </c>
      <c r="M169" t="s">
        <v>54</v>
      </c>
      <c r="N169">
        <v>2</v>
      </c>
      <c r="O169">
        <v>-2</v>
      </c>
      <c r="P169">
        <v>0</v>
      </c>
      <c r="Q169">
        <v>18</v>
      </c>
      <c r="R169">
        <v>0</v>
      </c>
      <c r="T169">
        <v>0</v>
      </c>
      <c r="U169">
        <v>1</v>
      </c>
      <c r="V169">
        <v>287</v>
      </c>
      <c r="W169">
        <v>5</v>
      </c>
      <c r="X169" t="s">
        <v>55</v>
      </c>
      <c r="Y169">
        <v>1</v>
      </c>
      <c r="Z169">
        <v>2</v>
      </c>
      <c r="AA169">
        <v>73</v>
      </c>
      <c r="AB169">
        <v>3</v>
      </c>
      <c r="AC169">
        <v>1</v>
      </c>
      <c r="AD169">
        <v>1</v>
      </c>
      <c r="AE169">
        <v>1051</v>
      </c>
      <c r="AF169">
        <v>13493</v>
      </c>
      <c r="AG169">
        <v>1</v>
      </c>
      <c r="AH169">
        <v>15</v>
      </c>
      <c r="AI169">
        <v>3</v>
      </c>
      <c r="AJ169">
        <v>4</v>
      </c>
      <c r="AK169">
        <v>80</v>
      </c>
      <c r="AL169">
        <v>0</v>
      </c>
      <c r="AM169">
        <v>0</v>
      </c>
      <c r="AN169">
        <v>3</v>
      </c>
      <c r="AO169">
        <v>0</v>
      </c>
      <c r="AP169">
        <v>0</v>
      </c>
      <c r="AQ169">
        <v>0</v>
      </c>
      <c r="AR169">
        <v>0</v>
      </c>
    </row>
    <row r="170" spans="1:44" x14ac:dyDescent="0.3">
      <c r="A170" t="s">
        <v>56</v>
      </c>
      <c r="B170" t="s">
        <v>45</v>
      </c>
      <c r="C170" t="s">
        <v>58</v>
      </c>
      <c r="D170" t="s">
        <v>59</v>
      </c>
      <c r="E170" t="s">
        <v>60</v>
      </c>
      <c r="F170" t="s">
        <v>72</v>
      </c>
      <c r="G170" t="s">
        <v>807</v>
      </c>
      <c r="H170">
        <v>1007</v>
      </c>
      <c r="I170" t="s">
        <v>62</v>
      </c>
      <c r="J170" t="s">
        <v>81</v>
      </c>
      <c r="K170" t="s">
        <v>79</v>
      </c>
      <c r="L170" t="s">
        <v>56</v>
      </c>
      <c r="M170" t="s">
        <v>54</v>
      </c>
      <c r="N170">
        <v>3</v>
      </c>
      <c r="O170">
        <v>-2</v>
      </c>
      <c r="P170">
        <v>0</v>
      </c>
      <c r="Q170">
        <v>46</v>
      </c>
      <c r="R170">
        <v>0</v>
      </c>
      <c r="T170">
        <v>0</v>
      </c>
      <c r="U170">
        <v>1</v>
      </c>
      <c r="V170">
        <v>566</v>
      </c>
      <c r="W170">
        <v>7</v>
      </c>
      <c r="X170" t="s">
        <v>55</v>
      </c>
      <c r="Y170">
        <v>1</v>
      </c>
      <c r="Z170">
        <v>4</v>
      </c>
      <c r="AA170">
        <v>75</v>
      </c>
      <c r="AB170">
        <v>3</v>
      </c>
      <c r="AC170">
        <v>3</v>
      </c>
      <c r="AD170">
        <v>3</v>
      </c>
      <c r="AE170">
        <v>10845</v>
      </c>
      <c r="AF170">
        <v>24208</v>
      </c>
      <c r="AG170">
        <v>6</v>
      </c>
      <c r="AH170">
        <v>13</v>
      </c>
      <c r="AI170">
        <v>3</v>
      </c>
      <c r="AJ170">
        <v>2</v>
      </c>
      <c r="AK170">
        <v>80</v>
      </c>
      <c r="AL170">
        <v>1</v>
      </c>
      <c r="AM170">
        <v>13</v>
      </c>
      <c r="AN170">
        <v>3</v>
      </c>
      <c r="AO170">
        <v>8</v>
      </c>
      <c r="AP170">
        <v>7</v>
      </c>
      <c r="AQ170">
        <v>0</v>
      </c>
      <c r="AR170">
        <v>7</v>
      </c>
    </row>
    <row r="171" spans="1:44" x14ac:dyDescent="0.3">
      <c r="A171" t="s">
        <v>56</v>
      </c>
      <c r="B171" t="s">
        <v>45</v>
      </c>
      <c r="C171" t="s">
        <v>58</v>
      </c>
      <c r="D171" t="s">
        <v>59</v>
      </c>
      <c r="E171" t="s">
        <v>48</v>
      </c>
      <c r="F171" t="s">
        <v>49</v>
      </c>
      <c r="G171" t="s">
        <v>803</v>
      </c>
      <c r="H171">
        <v>1003</v>
      </c>
      <c r="I171" t="s">
        <v>51</v>
      </c>
      <c r="J171" t="s">
        <v>52</v>
      </c>
      <c r="K171" t="s">
        <v>53</v>
      </c>
      <c r="L171" t="s">
        <v>44</v>
      </c>
      <c r="M171" t="s">
        <v>54</v>
      </c>
      <c r="N171">
        <v>0</v>
      </c>
      <c r="O171">
        <v>-2</v>
      </c>
      <c r="P171">
        <v>0</v>
      </c>
      <c r="Q171">
        <v>47</v>
      </c>
      <c r="R171">
        <v>0</v>
      </c>
      <c r="T171">
        <v>0</v>
      </c>
      <c r="U171">
        <v>1</v>
      </c>
      <c r="V171">
        <v>955</v>
      </c>
      <c r="W171">
        <v>4</v>
      </c>
      <c r="X171" t="s">
        <v>55</v>
      </c>
      <c r="Y171">
        <v>1</v>
      </c>
      <c r="Z171">
        <v>4</v>
      </c>
      <c r="AA171">
        <v>83</v>
      </c>
      <c r="AB171">
        <v>3</v>
      </c>
      <c r="AC171">
        <v>2</v>
      </c>
      <c r="AD171">
        <v>1</v>
      </c>
      <c r="AE171">
        <v>4163</v>
      </c>
      <c r="AF171">
        <v>8571</v>
      </c>
      <c r="AG171">
        <v>1</v>
      </c>
      <c r="AH171">
        <v>17</v>
      </c>
      <c r="AI171">
        <v>3</v>
      </c>
      <c r="AJ171">
        <v>3</v>
      </c>
      <c r="AK171">
        <v>80</v>
      </c>
      <c r="AL171">
        <v>0</v>
      </c>
      <c r="AM171">
        <v>9</v>
      </c>
      <c r="AN171">
        <v>3</v>
      </c>
      <c r="AO171">
        <v>9</v>
      </c>
      <c r="AP171">
        <v>0</v>
      </c>
      <c r="AQ171">
        <v>0</v>
      </c>
      <c r="AR171">
        <v>7</v>
      </c>
    </row>
    <row r="172" spans="1:44" x14ac:dyDescent="0.3">
      <c r="A172" t="s">
        <v>56</v>
      </c>
      <c r="B172" t="s">
        <v>91</v>
      </c>
      <c r="C172" t="s">
        <v>58</v>
      </c>
      <c r="D172" t="s">
        <v>59</v>
      </c>
      <c r="E172" t="s">
        <v>60</v>
      </c>
      <c r="F172" t="s">
        <v>49</v>
      </c>
      <c r="G172" t="s">
        <v>802</v>
      </c>
      <c r="H172">
        <v>1002</v>
      </c>
      <c r="I172" t="s">
        <v>62</v>
      </c>
      <c r="J172" t="s">
        <v>68</v>
      </c>
      <c r="K172" t="s">
        <v>64</v>
      </c>
      <c r="L172" t="s">
        <v>44</v>
      </c>
      <c r="M172" t="s">
        <v>54</v>
      </c>
      <c r="N172">
        <v>2</v>
      </c>
      <c r="O172">
        <v>-2</v>
      </c>
      <c r="P172">
        <v>0</v>
      </c>
      <c r="Q172">
        <v>45</v>
      </c>
      <c r="R172">
        <v>0</v>
      </c>
      <c r="T172">
        <v>0</v>
      </c>
      <c r="U172">
        <v>1</v>
      </c>
      <c r="V172">
        <v>248</v>
      </c>
      <c r="W172">
        <v>23</v>
      </c>
      <c r="X172" t="s">
        <v>55</v>
      </c>
      <c r="Y172">
        <v>1</v>
      </c>
      <c r="Z172">
        <v>4</v>
      </c>
      <c r="AA172">
        <v>42</v>
      </c>
      <c r="AB172">
        <v>3</v>
      </c>
      <c r="AC172">
        <v>2</v>
      </c>
      <c r="AD172">
        <v>1</v>
      </c>
      <c r="AE172">
        <v>3633</v>
      </c>
      <c r="AF172">
        <v>14039</v>
      </c>
      <c r="AG172">
        <v>1</v>
      </c>
      <c r="AH172">
        <v>15</v>
      </c>
      <c r="AI172">
        <v>3</v>
      </c>
      <c r="AJ172">
        <v>3</v>
      </c>
      <c r="AK172">
        <v>80</v>
      </c>
      <c r="AL172">
        <v>1</v>
      </c>
      <c r="AM172">
        <v>9</v>
      </c>
      <c r="AN172">
        <v>3</v>
      </c>
      <c r="AO172">
        <v>9</v>
      </c>
      <c r="AP172">
        <v>8</v>
      </c>
      <c r="AQ172">
        <v>0</v>
      </c>
      <c r="AR172">
        <v>8</v>
      </c>
    </row>
    <row r="173" spans="1:44" x14ac:dyDescent="0.3">
      <c r="A173" t="s">
        <v>56</v>
      </c>
      <c r="B173" t="s">
        <v>45</v>
      </c>
      <c r="C173" t="s">
        <v>58</v>
      </c>
      <c r="D173" t="s">
        <v>59</v>
      </c>
      <c r="E173" t="s">
        <v>60</v>
      </c>
      <c r="F173" t="s">
        <v>72</v>
      </c>
      <c r="G173" t="s">
        <v>798</v>
      </c>
      <c r="H173">
        <v>997</v>
      </c>
      <c r="I173" t="s">
        <v>62</v>
      </c>
      <c r="J173" t="s">
        <v>101</v>
      </c>
      <c r="K173" t="s">
        <v>79</v>
      </c>
      <c r="L173" t="s">
        <v>56</v>
      </c>
      <c r="M173" t="s">
        <v>54</v>
      </c>
      <c r="N173">
        <v>1</v>
      </c>
      <c r="O173">
        <v>-2</v>
      </c>
      <c r="P173">
        <v>0</v>
      </c>
      <c r="Q173">
        <v>50</v>
      </c>
      <c r="R173">
        <v>0</v>
      </c>
      <c r="T173">
        <v>0</v>
      </c>
      <c r="U173">
        <v>1</v>
      </c>
      <c r="V173">
        <v>1126</v>
      </c>
      <c r="W173">
        <v>1</v>
      </c>
      <c r="X173" t="s">
        <v>55</v>
      </c>
      <c r="Y173">
        <v>1</v>
      </c>
      <c r="Z173">
        <v>4</v>
      </c>
      <c r="AA173">
        <v>66</v>
      </c>
      <c r="AB173">
        <v>3</v>
      </c>
      <c r="AC173">
        <v>4</v>
      </c>
      <c r="AD173">
        <v>4</v>
      </c>
      <c r="AE173">
        <v>17399</v>
      </c>
      <c r="AF173">
        <v>6615</v>
      </c>
      <c r="AG173">
        <v>9</v>
      </c>
      <c r="AH173">
        <v>22</v>
      </c>
      <c r="AI173">
        <v>4</v>
      </c>
      <c r="AJ173">
        <v>3</v>
      </c>
      <c r="AK173">
        <v>80</v>
      </c>
      <c r="AL173">
        <v>1</v>
      </c>
      <c r="AM173">
        <v>32</v>
      </c>
      <c r="AN173">
        <v>2</v>
      </c>
      <c r="AO173">
        <v>5</v>
      </c>
      <c r="AP173">
        <v>4</v>
      </c>
      <c r="AQ173">
        <v>1</v>
      </c>
      <c r="AR173">
        <v>3</v>
      </c>
    </row>
    <row r="174" spans="1:44" x14ac:dyDescent="0.3">
      <c r="A174" t="s">
        <v>44</v>
      </c>
      <c r="B174" t="s">
        <v>91</v>
      </c>
      <c r="C174" t="s">
        <v>69</v>
      </c>
      <c r="D174" t="s">
        <v>47</v>
      </c>
      <c r="E174" t="s">
        <v>60</v>
      </c>
      <c r="F174" t="s">
        <v>72</v>
      </c>
      <c r="G174" t="s">
        <v>793</v>
      </c>
      <c r="H174">
        <v>991</v>
      </c>
      <c r="I174" t="s">
        <v>62</v>
      </c>
      <c r="J174" t="s">
        <v>63</v>
      </c>
      <c r="K174" t="s">
        <v>53</v>
      </c>
      <c r="L174" t="s">
        <v>44</v>
      </c>
      <c r="M174" t="s">
        <v>54</v>
      </c>
      <c r="N174">
        <v>0</v>
      </c>
      <c r="O174">
        <v>-2</v>
      </c>
      <c r="P174">
        <v>0</v>
      </c>
      <c r="Q174">
        <v>31</v>
      </c>
      <c r="R174">
        <v>1</v>
      </c>
      <c r="S174">
        <v>1</v>
      </c>
      <c r="T174">
        <v>1</v>
      </c>
      <c r="U174">
        <v>0</v>
      </c>
      <c r="V174">
        <v>335</v>
      </c>
      <c r="W174">
        <v>9</v>
      </c>
      <c r="X174" t="s">
        <v>55</v>
      </c>
      <c r="Y174">
        <v>1</v>
      </c>
      <c r="Z174">
        <v>3</v>
      </c>
      <c r="AA174">
        <v>46</v>
      </c>
      <c r="AB174">
        <v>2</v>
      </c>
      <c r="AC174">
        <v>1</v>
      </c>
      <c r="AD174">
        <v>3</v>
      </c>
      <c r="AE174">
        <v>2321</v>
      </c>
      <c r="AF174">
        <v>10322</v>
      </c>
      <c r="AG174">
        <v>0</v>
      </c>
      <c r="AH174">
        <v>22</v>
      </c>
      <c r="AI174">
        <v>4</v>
      </c>
      <c r="AJ174">
        <v>1</v>
      </c>
      <c r="AK174">
        <v>80</v>
      </c>
      <c r="AL174">
        <v>0</v>
      </c>
      <c r="AM174">
        <v>4</v>
      </c>
      <c r="AN174">
        <v>3</v>
      </c>
      <c r="AO174">
        <v>3</v>
      </c>
      <c r="AP174">
        <v>2</v>
      </c>
      <c r="AQ174">
        <v>1</v>
      </c>
      <c r="AR174">
        <v>2</v>
      </c>
    </row>
    <row r="175" spans="1:44" x14ac:dyDescent="0.3">
      <c r="A175" t="s">
        <v>56</v>
      </c>
      <c r="B175" t="s">
        <v>45</v>
      </c>
      <c r="C175" t="s">
        <v>69</v>
      </c>
      <c r="D175" t="s">
        <v>59</v>
      </c>
      <c r="E175" t="s">
        <v>48</v>
      </c>
      <c r="F175" t="s">
        <v>66</v>
      </c>
      <c r="G175" t="s">
        <v>786</v>
      </c>
      <c r="H175">
        <v>982</v>
      </c>
      <c r="I175" t="s">
        <v>62</v>
      </c>
      <c r="J175" t="s">
        <v>52</v>
      </c>
      <c r="K175" t="s">
        <v>79</v>
      </c>
      <c r="L175" t="s">
        <v>56</v>
      </c>
      <c r="M175" t="s">
        <v>54</v>
      </c>
      <c r="N175">
        <v>2</v>
      </c>
      <c r="O175">
        <v>-2</v>
      </c>
      <c r="P175">
        <v>0</v>
      </c>
      <c r="Q175">
        <v>30</v>
      </c>
      <c r="R175">
        <v>0</v>
      </c>
      <c r="T175">
        <v>0</v>
      </c>
      <c r="U175">
        <v>1</v>
      </c>
      <c r="V175">
        <v>231</v>
      </c>
      <c r="W175">
        <v>8</v>
      </c>
      <c r="X175" t="s">
        <v>55</v>
      </c>
      <c r="Y175">
        <v>1</v>
      </c>
      <c r="Z175">
        <v>3</v>
      </c>
      <c r="AA175">
        <v>62</v>
      </c>
      <c r="AB175">
        <v>3</v>
      </c>
      <c r="AC175">
        <v>3</v>
      </c>
      <c r="AD175">
        <v>3</v>
      </c>
      <c r="AE175">
        <v>7264</v>
      </c>
      <c r="AF175">
        <v>9977</v>
      </c>
      <c r="AG175">
        <v>5</v>
      </c>
      <c r="AH175">
        <v>11</v>
      </c>
      <c r="AI175">
        <v>3</v>
      </c>
      <c r="AJ175">
        <v>1</v>
      </c>
      <c r="AK175">
        <v>80</v>
      </c>
      <c r="AL175">
        <v>1</v>
      </c>
      <c r="AM175">
        <v>10</v>
      </c>
      <c r="AN175">
        <v>4</v>
      </c>
      <c r="AO175">
        <v>8</v>
      </c>
      <c r="AP175">
        <v>4</v>
      </c>
      <c r="AQ175">
        <v>7</v>
      </c>
      <c r="AR175">
        <v>7</v>
      </c>
    </row>
    <row r="176" spans="1:44" x14ac:dyDescent="0.3">
      <c r="A176" t="s">
        <v>56</v>
      </c>
      <c r="B176" t="s">
        <v>57</v>
      </c>
      <c r="C176" t="s">
        <v>46</v>
      </c>
      <c r="D176" t="s">
        <v>59</v>
      </c>
      <c r="E176" t="s">
        <v>60</v>
      </c>
      <c r="F176" t="s">
        <v>72</v>
      </c>
      <c r="G176" t="s">
        <v>256</v>
      </c>
      <c r="H176">
        <v>238</v>
      </c>
      <c r="I176" t="s">
        <v>62</v>
      </c>
      <c r="J176" t="s">
        <v>68</v>
      </c>
      <c r="K176" t="s">
        <v>53</v>
      </c>
      <c r="L176" t="s">
        <v>56</v>
      </c>
      <c r="M176" t="s">
        <v>54</v>
      </c>
      <c r="N176">
        <v>3</v>
      </c>
      <c r="O176">
        <v>-2</v>
      </c>
      <c r="P176">
        <v>0</v>
      </c>
      <c r="Q176">
        <v>36</v>
      </c>
      <c r="R176">
        <v>0</v>
      </c>
      <c r="T176">
        <v>0</v>
      </c>
      <c r="U176">
        <v>1</v>
      </c>
      <c r="V176">
        <v>1480</v>
      </c>
      <c r="W176">
        <v>3</v>
      </c>
      <c r="X176" t="s">
        <v>55</v>
      </c>
      <c r="Y176">
        <v>1</v>
      </c>
      <c r="Z176">
        <v>4</v>
      </c>
      <c r="AA176">
        <v>30</v>
      </c>
      <c r="AB176">
        <v>3</v>
      </c>
      <c r="AC176">
        <v>1</v>
      </c>
      <c r="AD176">
        <v>3</v>
      </c>
      <c r="AE176">
        <v>2088</v>
      </c>
      <c r="AF176">
        <v>15062</v>
      </c>
      <c r="AG176">
        <v>4</v>
      </c>
      <c r="AH176">
        <v>12</v>
      </c>
      <c r="AI176">
        <v>3</v>
      </c>
      <c r="AJ176">
        <v>3</v>
      </c>
      <c r="AK176">
        <v>80</v>
      </c>
      <c r="AL176">
        <v>0</v>
      </c>
      <c r="AM176">
        <v>13</v>
      </c>
      <c r="AN176">
        <v>2</v>
      </c>
      <c r="AO176">
        <v>8</v>
      </c>
      <c r="AP176">
        <v>7</v>
      </c>
      <c r="AQ176">
        <v>7</v>
      </c>
      <c r="AR176">
        <v>2</v>
      </c>
    </row>
    <row r="177" spans="1:44" x14ac:dyDescent="0.3">
      <c r="A177" t="s">
        <v>56</v>
      </c>
      <c r="B177" t="s">
        <v>45</v>
      </c>
      <c r="C177" t="s">
        <v>58</v>
      </c>
      <c r="D177" t="s">
        <v>59</v>
      </c>
      <c r="E177" t="s">
        <v>48</v>
      </c>
      <c r="F177" t="s">
        <v>72</v>
      </c>
      <c r="G177" t="s">
        <v>785</v>
      </c>
      <c r="H177">
        <v>981</v>
      </c>
      <c r="I177" t="s">
        <v>62</v>
      </c>
      <c r="J177" t="s">
        <v>95</v>
      </c>
      <c r="K177" t="s">
        <v>79</v>
      </c>
      <c r="L177" t="s">
        <v>56</v>
      </c>
      <c r="M177" t="s">
        <v>54</v>
      </c>
      <c r="N177">
        <v>3</v>
      </c>
      <c r="O177">
        <v>-2</v>
      </c>
      <c r="P177">
        <v>0</v>
      </c>
      <c r="Q177">
        <v>53</v>
      </c>
      <c r="R177">
        <v>0</v>
      </c>
      <c r="T177">
        <v>0</v>
      </c>
      <c r="U177">
        <v>1</v>
      </c>
      <c r="V177">
        <v>1376</v>
      </c>
      <c r="W177">
        <v>2</v>
      </c>
      <c r="X177" t="s">
        <v>55</v>
      </c>
      <c r="Y177">
        <v>1</v>
      </c>
      <c r="Z177">
        <v>3</v>
      </c>
      <c r="AA177">
        <v>45</v>
      </c>
      <c r="AB177">
        <v>3</v>
      </c>
      <c r="AC177">
        <v>4</v>
      </c>
      <c r="AD177">
        <v>3</v>
      </c>
      <c r="AE177">
        <v>14852</v>
      </c>
      <c r="AF177">
        <v>13938</v>
      </c>
      <c r="AG177">
        <v>6</v>
      </c>
      <c r="AH177">
        <v>13</v>
      </c>
      <c r="AI177">
        <v>3</v>
      </c>
      <c r="AJ177">
        <v>3</v>
      </c>
      <c r="AK177">
        <v>80</v>
      </c>
      <c r="AL177">
        <v>1</v>
      </c>
      <c r="AM177">
        <v>22</v>
      </c>
      <c r="AN177">
        <v>4</v>
      </c>
      <c r="AO177">
        <v>17</v>
      </c>
      <c r="AP177">
        <v>13</v>
      </c>
      <c r="AQ177">
        <v>15</v>
      </c>
      <c r="AR177">
        <v>2</v>
      </c>
    </row>
    <row r="178" spans="1:44" x14ac:dyDescent="0.3">
      <c r="A178" t="s">
        <v>56</v>
      </c>
      <c r="B178" t="s">
        <v>45</v>
      </c>
      <c r="C178" t="s">
        <v>58</v>
      </c>
      <c r="D178" t="s">
        <v>59</v>
      </c>
      <c r="E178" t="s">
        <v>48</v>
      </c>
      <c r="F178" t="s">
        <v>49</v>
      </c>
      <c r="G178" t="s">
        <v>258</v>
      </c>
      <c r="H178">
        <v>240</v>
      </c>
      <c r="I178" t="s">
        <v>51</v>
      </c>
      <c r="J178" t="s">
        <v>52</v>
      </c>
      <c r="K178" t="s">
        <v>79</v>
      </c>
      <c r="L178" t="s">
        <v>44</v>
      </c>
      <c r="M178" t="s">
        <v>54</v>
      </c>
      <c r="N178">
        <v>3</v>
      </c>
      <c r="O178">
        <v>-2</v>
      </c>
      <c r="P178">
        <v>0</v>
      </c>
      <c r="Q178">
        <v>45</v>
      </c>
      <c r="R178">
        <v>0</v>
      </c>
      <c r="T178">
        <v>0</v>
      </c>
      <c r="U178">
        <v>1</v>
      </c>
      <c r="V178">
        <v>1268</v>
      </c>
      <c r="W178">
        <v>4</v>
      </c>
      <c r="X178" t="s">
        <v>55</v>
      </c>
      <c r="Y178">
        <v>1</v>
      </c>
      <c r="Z178">
        <v>3</v>
      </c>
      <c r="AA178">
        <v>30</v>
      </c>
      <c r="AB178">
        <v>3</v>
      </c>
      <c r="AC178">
        <v>2</v>
      </c>
      <c r="AD178">
        <v>2</v>
      </c>
      <c r="AE178">
        <v>5006</v>
      </c>
      <c r="AF178">
        <v>6319</v>
      </c>
      <c r="AG178">
        <v>4</v>
      </c>
      <c r="AH178">
        <v>11</v>
      </c>
      <c r="AI178">
        <v>3</v>
      </c>
      <c r="AJ178">
        <v>1</v>
      </c>
      <c r="AK178">
        <v>80</v>
      </c>
      <c r="AL178">
        <v>1</v>
      </c>
      <c r="AM178">
        <v>9</v>
      </c>
      <c r="AN178">
        <v>4</v>
      </c>
      <c r="AO178">
        <v>5</v>
      </c>
      <c r="AP178">
        <v>4</v>
      </c>
      <c r="AQ178">
        <v>0</v>
      </c>
      <c r="AR178">
        <v>3</v>
      </c>
    </row>
    <row r="179" spans="1:44" x14ac:dyDescent="0.3">
      <c r="A179" t="s">
        <v>56</v>
      </c>
      <c r="B179" t="s">
        <v>45</v>
      </c>
      <c r="C179" t="s">
        <v>58</v>
      </c>
      <c r="D179" t="s">
        <v>59</v>
      </c>
      <c r="E179" t="s">
        <v>60</v>
      </c>
      <c r="F179" t="s">
        <v>49</v>
      </c>
      <c r="G179" t="s">
        <v>783</v>
      </c>
      <c r="H179">
        <v>976</v>
      </c>
      <c r="I179" t="s">
        <v>62</v>
      </c>
      <c r="J179" t="s">
        <v>95</v>
      </c>
      <c r="K179" t="s">
        <v>64</v>
      </c>
      <c r="L179" t="s">
        <v>56</v>
      </c>
      <c r="M179" t="s">
        <v>54</v>
      </c>
      <c r="N179">
        <v>2</v>
      </c>
      <c r="O179">
        <v>-2</v>
      </c>
      <c r="P179">
        <v>0</v>
      </c>
      <c r="Q179">
        <v>52</v>
      </c>
      <c r="R179">
        <v>0</v>
      </c>
      <c r="T179">
        <v>0</v>
      </c>
      <c r="U179">
        <v>1</v>
      </c>
      <c r="V179">
        <v>1053</v>
      </c>
      <c r="W179">
        <v>1</v>
      </c>
      <c r="X179" t="s">
        <v>55</v>
      </c>
      <c r="Y179">
        <v>1</v>
      </c>
      <c r="Z179">
        <v>4</v>
      </c>
      <c r="AA179">
        <v>70</v>
      </c>
      <c r="AB179">
        <v>3</v>
      </c>
      <c r="AC179">
        <v>4</v>
      </c>
      <c r="AD179">
        <v>1</v>
      </c>
      <c r="AE179">
        <v>17099</v>
      </c>
      <c r="AF179">
        <v>13829</v>
      </c>
      <c r="AG179">
        <v>2</v>
      </c>
      <c r="AH179">
        <v>15</v>
      </c>
      <c r="AI179">
        <v>3</v>
      </c>
      <c r="AJ179">
        <v>2</v>
      </c>
      <c r="AK179">
        <v>80</v>
      </c>
      <c r="AL179">
        <v>1</v>
      </c>
      <c r="AM179">
        <v>26</v>
      </c>
      <c r="AN179">
        <v>2</v>
      </c>
      <c r="AO179">
        <v>9</v>
      </c>
      <c r="AP179">
        <v>8</v>
      </c>
      <c r="AQ179">
        <v>7</v>
      </c>
      <c r="AR179">
        <v>8</v>
      </c>
    </row>
    <row r="180" spans="1:44" x14ac:dyDescent="0.3">
      <c r="A180" t="s">
        <v>56</v>
      </c>
      <c r="B180" t="s">
        <v>91</v>
      </c>
      <c r="C180" t="s">
        <v>58</v>
      </c>
      <c r="D180" t="s">
        <v>59</v>
      </c>
      <c r="E180" t="s">
        <v>60</v>
      </c>
      <c r="F180" t="s">
        <v>49</v>
      </c>
      <c r="G180" t="s">
        <v>780</v>
      </c>
      <c r="H180">
        <v>972</v>
      </c>
      <c r="I180" t="s">
        <v>62</v>
      </c>
      <c r="J180" t="s">
        <v>68</v>
      </c>
      <c r="K180" t="s">
        <v>64</v>
      </c>
      <c r="L180" t="s">
        <v>56</v>
      </c>
      <c r="M180" t="s">
        <v>54</v>
      </c>
      <c r="N180">
        <v>5</v>
      </c>
      <c r="O180">
        <v>-2</v>
      </c>
      <c r="P180">
        <v>0</v>
      </c>
      <c r="Q180">
        <v>45</v>
      </c>
      <c r="R180">
        <v>0</v>
      </c>
      <c r="T180">
        <v>0</v>
      </c>
      <c r="U180">
        <v>1</v>
      </c>
      <c r="V180">
        <v>805</v>
      </c>
      <c r="W180">
        <v>4</v>
      </c>
      <c r="X180" t="s">
        <v>55</v>
      </c>
      <c r="Y180">
        <v>1</v>
      </c>
      <c r="Z180">
        <v>3</v>
      </c>
      <c r="AA180">
        <v>57</v>
      </c>
      <c r="AB180">
        <v>3</v>
      </c>
      <c r="AC180">
        <v>2</v>
      </c>
      <c r="AD180">
        <v>1</v>
      </c>
      <c r="AE180">
        <v>4447</v>
      </c>
      <c r="AF180">
        <v>23163</v>
      </c>
      <c r="AG180">
        <v>1</v>
      </c>
      <c r="AH180">
        <v>12</v>
      </c>
      <c r="AI180">
        <v>3</v>
      </c>
      <c r="AJ180">
        <v>2</v>
      </c>
      <c r="AK180">
        <v>80</v>
      </c>
      <c r="AL180">
        <v>0</v>
      </c>
      <c r="AM180">
        <v>9</v>
      </c>
      <c r="AN180">
        <v>2</v>
      </c>
      <c r="AO180">
        <v>9</v>
      </c>
      <c r="AP180">
        <v>7</v>
      </c>
      <c r="AQ180">
        <v>0</v>
      </c>
      <c r="AR180">
        <v>8</v>
      </c>
    </row>
    <row r="181" spans="1:44" x14ac:dyDescent="0.3">
      <c r="A181" t="s">
        <v>44</v>
      </c>
      <c r="B181" t="s">
        <v>45</v>
      </c>
      <c r="C181" t="s">
        <v>69</v>
      </c>
      <c r="D181" t="s">
        <v>47</v>
      </c>
      <c r="E181" t="s">
        <v>48</v>
      </c>
      <c r="F181" t="s">
        <v>106</v>
      </c>
      <c r="G181" t="s">
        <v>767</v>
      </c>
      <c r="H181">
        <v>952</v>
      </c>
      <c r="I181" t="s">
        <v>62</v>
      </c>
      <c r="J181" t="s">
        <v>99</v>
      </c>
      <c r="K181" t="s">
        <v>64</v>
      </c>
      <c r="L181" t="s">
        <v>44</v>
      </c>
      <c r="M181" t="s">
        <v>54</v>
      </c>
      <c r="N181">
        <v>2</v>
      </c>
      <c r="O181">
        <v>-2</v>
      </c>
      <c r="P181">
        <v>0</v>
      </c>
      <c r="Q181">
        <v>25</v>
      </c>
      <c r="R181">
        <v>1</v>
      </c>
      <c r="S181">
        <v>1</v>
      </c>
      <c r="T181">
        <v>1</v>
      </c>
      <c r="U181">
        <v>0</v>
      </c>
      <c r="V181">
        <v>867</v>
      </c>
      <c r="W181">
        <v>19</v>
      </c>
      <c r="X181" t="s">
        <v>55</v>
      </c>
      <c r="Y181">
        <v>1</v>
      </c>
      <c r="Z181">
        <v>3</v>
      </c>
      <c r="AA181">
        <v>36</v>
      </c>
      <c r="AB181">
        <v>2</v>
      </c>
      <c r="AC181">
        <v>1</v>
      </c>
      <c r="AD181">
        <v>2</v>
      </c>
      <c r="AE181">
        <v>2413</v>
      </c>
      <c r="AF181">
        <v>18798</v>
      </c>
      <c r="AG181">
        <v>1</v>
      </c>
      <c r="AH181">
        <v>18</v>
      </c>
      <c r="AI181">
        <v>3</v>
      </c>
      <c r="AJ181">
        <v>3</v>
      </c>
      <c r="AK181">
        <v>80</v>
      </c>
      <c r="AL181">
        <v>3</v>
      </c>
      <c r="AM181">
        <v>1</v>
      </c>
      <c r="AN181">
        <v>3</v>
      </c>
      <c r="AO181">
        <v>1</v>
      </c>
      <c r="AP181">
        <v>0</v>
      </c>
      <c r="AQ181">
        <v>0</v>
      </c>
      <c r="AR181">
        <v>0</v>
      </c>
    </row>
    <row r="182" spans="1:44" x14ac:dyDescent="0.3">
      <c r="A182" t="s">
        <v>56</v>
      </c>
      <c r="B182" t="s">
        <v>45</v>
      </c>
      <c r="C182" t="s">
        <v>58</v>
      </c>
      <c r="D182" t="s">
        <v>59</v>
      </c>
      <c r="E182" t="s">
        <v>48</v>
      </c>
      <c r="F182" t="s">
        <v>106</v>
      </c>
      <c r="G182" t="s">
        <v>262</v>
      </c>
      <c r="H182">
        <v>244</v>
      </c>
      <c r="I182" t="s">
        <v>51</v>
      </c>
      <c r="J182" t="s">
        <v>52</v>
      </c>
      <c r="K182" t="s">
        <v>79</v>
      </c>
      <c r="L182" t="s">
        <v>56</v>
      </c>
      <c r="M182" t="s">
        <v>54</v>
      </c>
      <c r="N182">
        <v>2</v>
      </c>
      <c r="O182">
        <v>-2</v>
      </c>
      <c r="P182">
        <v>0</v>
      </c>
      <c r="Q182">
        <v>46</v>
      </c>
      <c r="R182">
        <v>0</v>
      </c>
      <c r="T182">
        <v>0</v>
      </c>
      <c r="U182">
        <v>1</v>
      </c>
      <c r="V182">
        <v>526</v>
      </c>
      <c r="W182">
        <v>1</v>
      </c>
      <c r="X182" t="s">
        <v>55</v>
      </c>
      <c r="Y182">
        <v>1</v>
      </c>
      <c r="Z182">
        <v>2</v>
      </c>
      <c r="AA182">
        <v>92</v>
      </c>
      <c r="AB182">
        <v>3</v>
      </c>
      <c r="AC182">
        <v>3</v>
      </c>
      <c r="AD182">
        <v>1</v>
      </c>
      <c r="AE182">
        <v>10453</v>
      </c>
      <c r="AF182">
        <v>2137</v>
      </c>
      <c r="AG182">
        <v>1</v>
      </c>
      <c r="AH182">
        <v>25</v>
      </c>
      <c r="AI182">
        <v>4</v>
      </c>
      <c r="AJ182">
        <v>3</v>
      </c>
      <c r="AK182">
        <v>80</v>
      </c>
      <c r="AL182">
        <v>3</v>
      </c>
      <c r="AM182">
        <v>24</v>
      </c>
      <c r="AN182">
        <v>3</v>
      </c>
      <c r="AO182">
        <v>24</v>
      </c>
      <c r="AP182">
        <v>13</v>
      </c>
      <c r="AQ182">
        <v>15</v>
      </c>
      <c r="AR182">
        <v>7</v>
      </c>
    </row>
    <row r="183" spans="1:44" x14ac:dyDescent="0.3">
      <c r="A183" t="s">
        <v>56</v>
      </c>
      <c r="B183" t="s">
        <v>45</v>
      </c>
      <c r="C183" t="s">
        <v>46</v>
      </c>
      <c r="D183" t="s">
        <v>59</v>
      </c>
      <c r="E183" t="s">
        <v>60</v>
      </c>
      <c r="F183" t="s">
        <v>49</v>
      </c>
      <c r="G183" t="s">
        <v>263</v>
      </c>
      <c r="H183">
        <v>245</v>
      </c>
      <c r="I183" t="s">
        <v>51</v>
      </c>
      <c r="J183" t="s">
        <v>68</v>
      </c>
      <c r="K183" t="s">
        <v>53</v>
      </c>
      <c r="L183" t="s">
        <v>56</v>
      </c>
      <c r="M183" t="s">
        <v>54</v>
      </c>
      <c r="N183">
        <v>3</v>
      </c>
      <c r="O183">
        <v>-2</v>
      </c>
      <c r="P183">
        <v>0</v>
      </c>
      <c r="Q183">
        <v>38</v>
      </c>
      <c r="R183">
        <v>0</v>
      </c>
      <c r="T183">
        <v>0</v>
      </c>
      <c r="U183">
        <v>1</v>
      </c>
      <c r="V183">
        <v>1380</v>
      </c>
      <c r="W183">
        <v>9</v>
      </c>
      <c r="X183" t="s">
        <v>55</v>
      </c>
      <c r="Y183">
        <v>1</v>
      </c>
      <c r="Z183">
        <v>3</v>
      </c>
      <c r="AA183">
        <v>75</v>
      </c>
      <c r="AB183">
        <v>3</v>
      </c>
      <c r="AC183">
        <v>1</v>
      </c>
      <c r="AD183">
        <v>2</v>
      </c>
      <c r="AE183">
        <v>2288</v>
      </c>
      <c r="AF183">
        <v>6319</v>
      </c>
      <c r="AG183">
        <v>1</v>
      </c>
      <c r="AH183">
        <v>12</v>
      </c>
      <c r="AI183">
        <v>3</v>
      </c>
      <c r="AJ183">
        <v>3</v>
      </c>
      <c r="AK183">
        <v>80</v>
      </c>
      <c r="AL183">
        <v>0</v>
      </c>
      <c r="AM183">
        <v>2</v>
      </c>
      <c r="AN183">
        <v>3</v>
      </c>
      <c r="AO183">
        <v>2</v>
      </c>
      <c r="AP183">
        <v>2</v>
      </c>
      <c r="AQ183">
        <v>2</v>
      </c>
      <c r="AR183">
        <v>1</v>
      </c>
    </row>
    <row r="184" spans="1:44" x14ac:dyDescent="0.3">
      <c r="A184" t="s">
        <v>56</v>
      </c>
      <c r="B184" t="s">
        <v>91</v>
      </c>
      <c r="C184" t="s">
        <v>69</v>
      </c>
      <c r="D184" t="s">
        <v>59</v>
      </c>
      <c r="E184" t="s">
        <v>48</v>
      </c>
      <c r="F184" t="s">
        <v>106</v>
      </c>
      <c r="G184" t="s">
        <v>763</v>
      </c>
      <c r="H184">
        <v>947</v>
      </c>
      <c r="I184" t="s">
        <v>51</v>
      </c>
      <c r="J184" t="s">
        <v>52</v>
      </c>
      <c r="K184" t="s">
        <v>64</v>
      </c>
      <c r="L184" t="s">
        <v>56</v>
      </c>
      <c r="M184" t="s">
        <v>54</v>
      </c>
      <c r="N184">
        <v>2</v>
      </c>
      <c r="O184">
        <v>-2</v>
      </c>
      <c r="P184">
        <v>0</v>
      </c>
      <c r="Q184">
        <v>31</v>
      </c>
      <c r="R184">
        <v>0</v>
      </c>
      <c r="T184">
        <v>0</v>
      </c>
      <c r="U184">
        <v>1</v>
      </c>
      <c r="V184">
        <v>1188</v>
      </c>
      <c r="W184">
        <v>20</v>
      </c>
      <c r="X184" t="s">
        <v>55</v>
      </c>
      <c r="Y184">
        <v>1</v>
      </c>
      <c r="Z184">
        <v>4</v>
      </c>
      <c r="AA184">
        <v>45</v>
      </c>
      <c r="AB184">
        <v>3</v>
      </c>
      <c r="AC184">
        <v>2</v>
      </c>
      <c r="AD184">
        <v>2</v>
      </c>
      <c r="AE184">
        <v>6932</v>
      </c>
      <c r="AF184">
        <v>24406</v>
      </c>
      <c r="AG184">
        <v>1</v>
      </c>
      <c r="AH184">
        <v>13</v>
      </c>
      <c r="AI184">
        <v>3</v>
      </c>
      <c r="AJ184">
        <v>4</v>
      </c>
      <c r="AK184">
        <v>80</v>
      </c>
      <c r="AL184">
        <v>1</v>
      </c>
      <c r="AM184">
        <v>9</v>
      </c>
      <c r="AN184">
        <v>2</v>
      </c>
      <c r="AO184">
        <v>9</v>
      </c>
      <c r="AP184">
        <v>8</v>
      </c>
      <c r="AQ184">
        <v>0</v>
      </c>
      <c r="AR184">
        <v>0</v>
      </c>
    </row>
    <row r="185" spans="1:44" x14ac:dyDescent="0.3">
      <c r="A185" t="s">
        <v>56</v>
      </c>
      <c r="B185" t="s">
        <v>45</v>
      </c>
      <c r="C185" t="s">
        <v>69</v>
      </c>
      <c r="D185" t="s">
        <v>59</v>
      </c>
      <c r="E185" t="s">
        <v>60</v>
      </c>
      <c r="F185" t="s">
        <v>72</v>
      </c>
      <c r="G185" t="s">
        <v>265</v>
      </c>
      <c r="H185">
        <v>247</v>
      </c>
      <c r="I185" t="s">
        <v>51</v>
      </c>
      <c r="J185" t="s">
        <v>63</v>
      </c>
      <c r="K185" t="s">
        <v>53</v>
      </c>
      <c r="L185" t="s">
        <v>56</v>
      </c>
      <c r="M185" t="s">
        <v>54</v>
      </c>
      <c r="N185">
        <v>3</v>
      </c>
      <c r="O185">
        <v>-2</v>
      </c>
      <c r="P185">
        <v>0</v>
      </c>
      <c r="Q185">
        <v>34</v>
      </c>
      <c r="R185">
        <v>0</v>
      </c>
      <c r="T185">
        <v>0</v>
      </c>
      <c r="U185">
        <v>1</v>
      </c>
      <c r="V185">
        <v>629</v>
      </c>
      <c r="W185">
        <v>27</v>
      </c>
      <c r="X185" t="s">
        <v>55</v>
      </c>
      <c r="Y185">
        <v>1</v>
      </c>
      <c r="Z185">
        <v>4</v>
      </c>
      <c r="AA185">
        <v>95</v>
      </c>
      <c r="AB185">
        <v>3</v>
      </c>
      <c r="AC185">
        <v>1</v>
      </c>
      <c r="AD185">
        <v>3</v>
      </c>
      <c r="AE185">
        <v>2311</v>
      </c>
      <c r="AF185">
        <v>5711</v>
      </c>
      <c r="AG185">
        <v>2</v>
      </c>
      <c r="AH185">
        <v>15</v>
      </c>
      <c r="AI185">
        <v>3</v>
      </c>
      <c r="AJ185">
        <v>4</v>
      </c>
      <c r="AK185">
        <v>80</v>
      </c>
      <c r="AL185">
        <v>0</v>
      </c>
      <c r="AM185">
        <v>9</v>
      </c>
      <c r="AN185">
        <v>3</v>
      </c>
      <c r="AO185">
        <v>3</v>
      </c>
      <c r="AP185">
        <v>2</v>
      </c>
      <c r="AQ185">
        <v>1</v>
      </c>
      <c r="AR185">
        <v>2</v>
      </c>
    </row>
    <row r="186" spans="1:44" x14ac:dyDescent="0.3">
      <c r="A186" t="s">
        <v>44</v>
      </c>
      <c r="B186" t="s">
        <v>45</v>
      </c>
      <c r="C186" t="s">
        <v>46</v>
      </c>
      <c r="D186" t="s">
        <v>47</v>
      </c>
      <c r="E186" t="s">
        <v>48</v>
      </c>
      <c r="F186" t="s">
        <v>106</v>
      </c>
      <c r="G186" t="s">
        <v>266</v>
      </c>
      <c r="H186">
        <v>248</v>
      </c>
      <c r="I186" t="s">
        <v>51</v>
      </c>
      <c r="J186" t="s">
        <v>99</v>
      </c>
      <c r="K186" t="s">
        <v>53</v>
      </c>
      <c r="L186" t="s">
        <v>44</v>
      </c>
      <c r="M186" t="s">
        <v>54</v>
      </c>
      <c r="N186">
        <v>5</v>
      </c>
      <c r="O186">
        <v>-2</v>
      </c>
      <c r="P186">
        <v>0</v>
      </c>
      <c r="Q186">
        <v>41</v>
      </c>
      <c r="R186">
        <v>1</v>
      </c>
      <c r="S186">
        <v>1</v>
      </c>
      <c r="T186">
        <v>1</v>
      </c>
      <c r="U186">
        <v>0</v>
      </c>
      <c r="V186">
        <v>1356</v>
      </c>
      <c r="W186">
        <v>20</v>
      </c>
      <c r="X186" t="s">
        <v>55</v>
      </c>
      <c r="Y186">
        <v>1</v>
      </c>
      <c r="Z186">
        <v>2</v>
      </c>
      <c r="AA186">
        <v>70</v>
      </c>
      <c r="AB186">
        <v>3</v>
      </c>
      <c r="AC186">
        <v>1</v>
      </c>
      <c r="AD186">
        <v>3</v>
      </c>
      <c r="AE186">
        <v>3140</v>
      </c>
      <c r="AF186">
        <v>21728</v>
      </c>
      <c r="AG186">
        <v>1</v>
      </c>
      <c r="AH186">
        <v>22</v>
      </c>
      <c r="AI186">
        <v>4</v>
      </c>
      <c r="AJ186">
        <v>4</v>
      </c>
      <c r="AK186">
        <v>80</v>
      </c>
      <c r="AL186">
        <v>0</v>
      </c>
      <c r="AM186">
        <v>4</v>
      </c>
      <c r="AN186">
        <v>2</v>
      </c>
      <c r="AO186">
        <v>4</v>
      </c>
      <c r="AP186">
        <v>3</v>
      </c>
      <c r="AQ186">
        <v>0</v>
      </c>
      <c r="AR186">
        <v>2</v>
      </c>
    </row>
    <row r="187" spans="1:44" x14ac:dyDescent="0.3">
      <c r="A187" t="s">
        <v>56</v>
      </c>
      <c r="B187" t="s">
        <v>45</v>
      </c>
      <c r="C187" t="s">
        <v>58</v>
      </c>
      <c r="D187" t="s">
        <v>59</v>
      </c>
      <c r="E187" t="s">
        <v>60</v>
      </c>
      <c r="F187" t="s">
        <v>66</v>
      </c>
      <c r="G187" t="s">
        <v>761</v>
      </c>
      <c r="H187">
        <v>944</v>
      </c>
      <c r="I187" t="s">
        <v>51</v>
      </c>
      <c r="J187" t="s">
        <v>68</v>
      </c>
      <c r="K187" t="s">
        <v>64</v>
      </c>
      <c r="L187" t="s">
        <v>56</v>
      </c>
      <c r="M187" t="s">
        <v>54</v>
      </c>
      <c r="N187">
        <v>3</v>
      </c>
      <c r="O187">
        <v>-2</v>
      </c>
      <c r="P187">
        <v>0</v>
      </c>
      <c r="Q187">
        <v>49</v>
      </c>
      <c r="R187">
        <v>0</v>
      </c>
      <c r="T187">
        <v>0</v>
      </c>
      <c r="U187">
        <v>1</v>
      </c>
      <c r="V187">
        <v>527</v>
      </c>
      <c r="W187">
        <v>8</v>
      </c>
      <c r="X187" t="s">
        <v>55</v>
      </c>
      <c r="Y187">
        <v>1</v>
      </c>
      <c r="Z187">
        <v>1</v>
      </c>
      <c r="AA187">
        <v>51</v>
      </c>
      <c r="AB187">
        <v>3</v>
      </c>
      <c r="AC187">
        <v>3</v>
      </c>
      <c r="AD187">
        <v>3</v>
      </c>
      <c r="AE187">
        <v>7403</v>
      </c>
      <c r="AF187">
        <v>22477</v>
      </c>
      <c r="AG187">
        <v>4</v>
      </c>
      <c r="AH187">
        <v>11</v>
      </c>
      <c r="AI187">
        <v>3</v>
      </c>
      <c r="AJ187">
        <v>3</v>
      </c>
      <c r="AK187">
        <v>80</v>
      </c>
      <c r="AL187">
        <v>1</v>
      </c>
      <c r="AM187">
        <v>29</v>
      </c>
      <c r="AN187">
        <v>2</v>
      </c>
      <c r="AO187">
        <v>26</v>
      </c>
      <c r="AP187">
        <v>9</v>
      </c>
      <c r="AQ187">
        <v>1</v>
      </c>
      <c r="AR187">
        <v>7</v>
      </c>
    </row>
    <row r="188" spans="1:44" x14ac:dyDescent="0.3">
      <c r="A188" t="s">
        <v>56</v>
      </c>
      <c r="B188" t="s">
        <v>45</v>
      </c>
      <c r="C188" t="s">
        <v>58</v>
      </c>
      <c r="D188" t="s">
        <v>59</v>
      </c>
      <c r="E188" t="s">
        <v>60</v>
      </c>
      <c r="F188" t="s">
        <v>72</v>
      </c>
      <c r="G188" t="s">
        <v>268</v>
      </c>
      <c r="H188">
        <v>250</v>
      </c>
      <c r="I188" t="s">
        <v>51</v>
      </c>
      <c r="J188" t="s">
        <v>81</v>
      </c>
      <c r="K188" t="s">
        <v>79</v>
      </c>
      <c r="L188" t="s">
        <v>56</v>
      </c>
      <c r="M188" t="s">
        <v>54</v>
      </c>
      <c r="N188">
        <v>3</v>
      </c>
      <c r="O188">
        <v>-2</v>
      </c>
      <c r="P188">
        <v>0</v>
      </c>
      <c r="Q188">
        <v>53</v>
      </c>
      <c r="R188">
        <v>0</v>
      </c>
      <c r="T188">
        <v>0</v>
      </c>
      <c r="U188">
        <v>1</v>
      </c>
      <c r="V188">
        <v>1084</v>
      </c>
      <c r="W188">
        <v>13</v>
      </c>
      <c r="X188" t="s">
        <v>55</v>
      </c>
      <c r="Y188">
        <v>1</v>
      </c>
      <c r="Z188">
        <v>4</v>
      </c>
      <c r="AA188">
        <v>57</v>
      </c>
      <c r="AB188">
        <v>4</v>
      </c>
      <c r="AC188">
        <v>2</v>
      </c>
      <c r="AD188">
        <v>3</v>
      </c>
      <c r="AE188">
        <v>4450</v>
      </c>
      <c r="AF188">
        <v>26250</v>
      </c>
      <c r="AG188">
        <v>1</v>
      </c>
      <c r="AH188">
        <v>11</v>
      </c>
      <c r="AI188">
        <v>3</v>
      </c>
      <c r="AJ188">
        <v>3</v>
      </c>
      <c r="AK188">
        <v>80</v>
      </c>
      <c r="AL188">
        <v>2</v>
      </c>
      <c r="AM188">
        <v>5</v>
      </c>
      <c r="AN188">
        <v>3</v>
      </c>
      <c r="AO188">
        <v>4</v>
      </c>
      <c r="AP188">
        <v>2</v>
      </c>
      <c r="AQ188">
        <v>1</v>
      </c>
      <c r="AR188">
        <v>3</v>
      </c>
    </row>
    <row r="189" spans="1:44" x14ac:dyDescent="0.3">
      <c r="A189" t="s">
        <v>56</v>
      </c>
      <c r="B189" t="s">
        <v>45</v>
      </c>
      <c r="C189" t="s">
        <v>46</v>
      </c>
      <c r="D189" t="s">
        <v>59</v>
      </c>
      <c r="E189" t="s">
        <v>48</v>
      </c>
      <c r="F189" t="s">
        <v>72</v>
      </c>
      <c r="G189" t="s">
        <v>756</v>
      </c>
      <c r="H189">
        <v>936</v>
      </c>
      <c r="I189" t="s">
        <v>51</v>
      </c>
      <c r="J189" t="s">
        <v>52</v>
      </c>
      <c r="K189" t="s">
        <v>53</v>
      </c>
      <c r="L189" t="s">
        <v>56</v>
      </c>
      <c r="M189" t="s">
        <v>54</v>
      </c>
      <c r="N189">
        <v>6</v>
      </c>
      <c r="O189">
        <v>-2</v>
      </c>
      <c r="P189">
        <v>0</v>
      </c>
      <c r="Q189">
        <v>42</v>
      </c>
      <c r="R189">
        <v>0</v>
      </c>
      <c r="T189">
        <v>0</v>
      </c>
      <c r="U189">
        <v>1</v>
      </c>
      <c r="V189">
        <v>462</v>
      </c>
      <c r="W189">
        <v>14</v>
      </c>
      <c r="X189" t="s">
        <v>55</v>
      </c>
      <c r="Y189">
        <v>1</v>
      </c>
      <c r="Z189">
        <v>3</v>
      </c>
      <c r="AA189">
        <v>68</v>
      </c>
      <c r="AB189">
        <v>2</v>
      </c>
      <c r="AC189">
        <v>2</v>
      </c>
      <c r="AD189">
        <v>3</v>
      </c>
      <c r="AE189">
        <v>6244</v>
      </c>
      <c r="AF189">
        <v>7824</v>
      </c>
      <c r="AG189">
        <v>7</v>
      </c>
      <c r="AH189">
        <v>17</v>
      </c>
      <c r="AI189">
        <v>3</v>
      </c>
      <c r="AJ189">
        <v>1</v>
      </c>
      <c r="AK189">
        <v>80</v>
      </c>
      <c r="AL189">
        <v>0</v>
      </c>
      <c r="AM189">
        <v>10</v>
      </c>
      <c r="AN189">
        <v>3</v>
      </c>
      <c r="AO189">
        <v>5</v>
      </c>
      <c r="AP189">
        <v>4</v>
      </c>
      <c r="AQ189">
        <v>0</v>
      </c>
      <c r="AR189">
        <v>3</v>
      </c>
    </row>
    <row r="190" spans="1:44" x14ac:dyDescent="0.3">
      <c r="A190" t="s">
        <v>56</v>
      </c>
      <c r="B190" t="s">
        <v>45</v>
      </c>
      <c r="C190" t="s">
        <v>46</v>
      </c>
      <c r="D190" t="s">
        <v>59</v>
      </c>
      <c r="E190" t="s">
        <v>60</v>
      </c>
      <c r="F190" t="s">
        <v>49</v>
      </c>
      <c r="G190" t="s">
        <v>742</v>
      </c>
      <c r="H190">
        <v>913</v>
      </c>
      <c r="I190" t="s">
        <v>62</v>
      </c>
      <c r="J190" t="s">
        <v>63</v>
      </c>
      <c r="K190" t="s">
        <v>64</v>
      </c>
      <c r="L190" t="s">
        <v>44</v>
      </c>
      <c r="M190" t="s">
        <v>54</v>
      </c>
      <c r="N190">
        <v>0</v>
      </c>
      <c r="O190">
        <v>-2</v>
      </c>
      <c r="P190">
        <v>0</v>
      </c>
      <c r="Q190">
        <v>44</v>
      </c>
      <c r="R190">
        <v>0</v>
      </c>
      <c r="T190">
        <v>0</v>
      </c>
      <c r="U190">
        <v>1</v>
      </c>
      <c r="V190">
        <v>661</v>
      </c>
      <c r="W190">
        <v>9</v>
      </c>
      <c r="X190" t="s">
        <v>55</v>
      </c>
      <c r="Y190">
        <v>1</v>
      </c>
      <c r="Z190">
        <v>2</v>
      </c>
      <c r="AA190">
        <v>61</v>
      </c>
      <c r="AB190">
        <v>3</v>
      </c>
      <c r="AC190">
        <v>1</v>
      </c>
      <c r="AD190">
        <v>1</v>
      </c>
      <c r="AE190">
        <v>2559</v>
      </c>
      <c r="AF190">
        <v>7508</v>
      </c>
      <c r="AG190">
        <v>1</v>
      </c>
      <c r="AH190">
        <v>13</v>
      </c>
      <c r="AI190">
        <v>3</v>
      </c>
      <c r="AJ190">
        <v>4</v>
      </c>
      <c r="AK190">
        <v>80</v>
      </c>
      <c r="AL190">
        <v>0</v>
      </c>
      <c r="AM190">
        <v>8</v>
      </c>
      <c r="AN190">
        <v>3</v>
      </c>
      <c r="AO190">
        <v>8</v>
      </c>
      <c r="AP190">
        <v>7</v>
      </c>
      <c r="AQ190">
        <v>7</v>
      </c>
      <c r="AR190">
        <v>1</v>
      </c>
    </row>
    <row r="191" spans="1:44" x14ac:dyDescent="0.3">
      <c r="A191" t="s">
        <v>56</v>
      </c>
      <c r="B191" t="s">
        <v>45</v>
      </c>
      <c r="C191" t="s">
        <v>69</v>
      </c>
      <c r="D191" t="s">
        <v>59</v>
      </c>
      <c r="E191" t="s">
        <v>161</v>
      </c>
      <c r="F191" t="s">
        <v>163</v>
      </c>
      <c r="G191" t="s">
        <v>739</v>
      </c>
      <c r="H191">
        <v>910</v>
      </c>
      <c r="I191" t="s">
        <v>62</v>
      </c>
      <c r="J191" t="s">
        <v>163</v>
      </c>
      <c r="K191" t="s">
        <v>79</v>
      </c>
      <c r="L191" t="s">
        <v>44</v>
      </c>
      <c r="M191" t="s">
        <v>54</v>
      </c>
      <c r="N191">
        <v>4</v>
      </c>
      <c r="O191">
        <v>-2</v>
      </c>
      <c r="P191">
        <v>0</v>
      </c>
      <c r="Q191">
        <v>33</v>
      </c>
      <c r="R191">
        <v>0</v>
      </c>
      <c r="T191">
        <v>0</v>
      </c>
      <c r="U191">
        <v>1</v>
      </c>
      <c r="V191">
        <v>1075</v>
      </c>
      <c r="W191">
        <v>3</v>
      </c>
      <c r="X191" t="s">
        <v>55</v>
      </c>
      <c r="Y191">
        <v>1</v>
      </c>
      <c r="Z191">
        <v>4</v>
      </c>
      <c r="AA191">
        <v>57</v>
      </c>
      <c r="AB191">
        <v>3</v>
      </c>
      <c r="AC191">
        <v>1</v>
      </c>
      <c r="AD191">
        <v>3</v>
      </c>
      <c r="AE191">
        <v>2277</v>
      </c>
      <c r="AF191">
        <v>22650</v>
      </c>
      <c r="AG191">
        <v>3</v>
      </c>
      <c r="AH191">
        <v>11</v>
      </c>
      <c r="AI191">
        <v>3</v>
      </c>
      <c r="AJ191">
        <v>3</v>
      </c>
      <c r="AK191">
        <v>80</v>
      </c>
      <c r="AL191">
        <v>1</v>
      </c>
      <c r="AM191">
        <v>7</v>
      </c>
      <c r="AN191">
        <v>4</v>
      </c>
      <c r="AO191">
        <v>4</v>
      </c>
      <c r="AP191">
        <v>3</v>
      </c>
      <c r="AQ191">
        <v>0</v>
      </c>
      <c r="AR191">
        <v>3</v>
      </c>
    </row>
    <row r="192" spans="1:44" x14ac:dyDescent="0.3">
      <c r="A192" t="s">
        <v>56</v>
      </c>
      <c r="B192" t="s">
        <v>91</v>
      </c>
      <c r="C192" t="s">
        <v>46</v>
      </c>
      <c r="D192" t="s">
        <v>59</v>
      </c>
      <c r="E192" t="s">
        <v>48</v>
      </c>
      <c r="F192" t="s">
        <v>72</v>
      </c>
      <c r="G192" t="s">
        <v>736</v>
      </c>
      <c r="H192">
        <v>904</v>
      </c>
      <c r="I192" t="s">
        <v>62</v>
      </c>
      <c r="J192" t="s">
        <v>52</v>
      </c>
      <c r="K192" t="s">
        <v>53</v>
      </c>
      <c r="L192" t="s">
        <v>44</v>
      </c>
      <c r="M192" t="s">
        <v>54</v>
      </c>
      <c r="N192">
        <v>2</v>
      </c>
      <c r="O192">
        <v>-2</v>
      </c>
      <c r="P192">
        <v>0</v>
      </c>
      <c r="Q192">
        <v>37</v>
      </c>
      <c r="R192">
        <v>0</v>
      </c>
      <c r="T192">
        <v>0</v>
      </c>
      <c r="U192">
        <v>1</v>
      </c>
      <c r="V192">
        <v>1252</v>
      </c>
      <c r="W192">
        <v>19</v>
      </c>
      <c r="X192" t="s">
        <v>55</v>
      </c>
      <c r="Y192">
        <v>1</v>
      </c>
      <c r="Z192">
        <v>1</v>
      </c>
      <c r="AA192">
        <v>32</v>
      </c>
      <c r="AB192">
        <v>3</v>
      </c>
      <c r="AC192">
        <v>3</v>
      </c>
      <c r="AD192">
        <v>3</v>
      </c>
      <c r="AE192">
        <v>7642</v>
      </c>
      <c r="AF192">
        <v>4814</v>
      </c>
      <c r="AG192">
        <v>1</v>
      </c>
      <c r="AH192">
        <v>13</v>
      </c>
      <c r="AI192">
        <v>3</v>
      </c>
      <c r="AJ192">
        <v>4</v>
      </c>
      <c r="AK192">
        <v>80</v>
      </c>
      <c r="AL192">
        <v>0</v>
      </c>
      <c r="AM192">
        <v>10</v>
      </c>
      <c r="AN192">
        <v>3</v>
      </c>
      <c r="AO192">
        <v>10</v>
      </c>
      <c r="AP192">
        <v>0</v>
      </c>
      <c r="AQ192">
        <v>0</v>
      </c>
      <c r="AR192">
        <v>9</v>
      </c>
    </row>
    <row r="193" spans="1:44" x14ac:dyDescent="0.3">
      <c r="A193" t="s">
        <v>56</v>
      </c>
      <c r="B193" t="s">
        <v>45</v>
      </c>
      <c r="C193" t="s">
        <v>58</v>
      </c>
      <c r="D193" t="s">
        <v>59</v>
      </c>
      <c r="E193" t="s">
        <v>48</v>
      </c>
      <c r="F193" t="s">
        <v>106</v>
      </c>
      <c r="G193" t="s">
        <v>735</v>
      </c>
      <c r="H193">
        <v>903</v>
      </c>
      <c r="I193" t="s">
        <v>51</v>
      </c>
      <c r="J193" t="s">
        <v>52</v>
      </c>
      <c r="K193" t="s">
        <v>64</v>
      </c>
      <c r="L193" t="s">
        <v>44</v>
      </c>
      <c r="M193" t="s">
        <v>54</v>
      </c>
      <c r="N193">
        <v>2</v>
      </c>
      <c r="O193">
        <v>-2</v>
      </c>
      <c r="P193">
        <v>0</v>
      </c>
      <c r="Q193">
        <v>47</v>
      </c>
      <c r="R193">
        <v>0</v>
      </c>
      <c r="T193">
        <v>0</v>
      </c>
      <c r="U193">
        <v>1</v>
      </c>
      <c r="V193">
        <v>249</v>
      </c>
      <c r="W193">
        <v>2</v>
      </c>
      <c r="X193" t="s">
        <v>55</v>
      </c>
      <c r="Y193">
        <v>1</v>
      </c>
      <c r="Z193">
        <v>3</v>
      </c>
      <c r="AA193">
        <v>35</v>
      </c>
      <c r="AB193">
        <v>3</v>
      </c>
      <c r="AC193">
        <v>2</v>
      </c>
      <c r="AD193">
        <v>2</v>
      </c>
      <c r="AE193">
        <v>4537</v>
      </c>
      <c r="AF193">
        <v>17783</v>
      </c>
      <c r="AG193">
        <v>0</v>
      </c>
      <c r="AH193">
        <v>22</v>
      </c>
      <c r="AI193">
        <v>4</v>
      </c>
      <c r="AJ193">
        <v>1</v>
      </c>
      <c r="AK193">
        <v>80</v>
      </c>
      <c r="AL193">
        <v>1</v>
      </c>
      <c r="AM193">
        <v>8</v>
      </c>
      <c r="AN193">
        <v>3</v>
      </c>
      <c r="AO193">
        <v>7</v>
      </c>
      <c r="AP193">
        <v>6</v>
      </c>
      <c r="AQ193">
        <v>7</v>
      </c>
      <c r="AR193">
        <v>7</v>
      </c>
    </row>
    <row r="194" spans="1:44" x14ac:dyDescent="0.3">
      <c r="A194" t="s">
        <v>56</v>
      </c>
      <c r="B194" t="s">
        <v>57</v>
      </c>
      <c r="C194" t="s">
        <v>46</v>
      </c>
      <c r="D194" t="s">
        <v>59</v>
      </c>
      <c r="E194" t="s">
        <v>48</v>
      </c>
      <c r="F194" t="s">
        <v>72</v>
      </c>
      <c r="G194" t="s">
        <v>732</v>
      </c>
      <c r="H194">
        <v>900</v>
      </c>
      <c r="I194" t="s">
        <v>51</v>
      </c>
      <c r="J194" t="s">
        <v>99</v>
      </c>
      <c r="K194" t="s">
        <v>64</v>
      </c>
      <c r="L194" t="s">
        <v>56</v>
      </c>
      <c r="M194" t="s">
        <v>54</v>
      </c>
      <c r="N194">
        <v>3</v>
      </c>
      <c r="O194">
        <v>-2</v>
      </c>
      <c r="P194">
        <v>0</v>
      </c>
      <c r="Q194">
        <v>37</v>
      </c>
      <c r="R194">
        <v>0</v>
      </c>
      <c r="T194">
        <v>0</v>
      </c>
      <c r="U194">
        <v>1</v>
      </c>
      <c r="V194">
        <v>1231</v>
      </c>
      <c r="W194">
        <v>21</v>
      </c>
      <c r="X194" t="s">
        <v>55</v>
      </c>
      <c r="Y194">
        <v>1</v>
      </c>
      <c r="Z194">
        <v>3</v>
      </c>
      <c r="AA194">
        <v>54</v>
      </c>
      <c r="AB194">
        <v>3</v>
      </c>
      <c r="AC194">
        <v>1</v>
      </c>
      <c r="AD194">
        <v>4</v>
      </c>
      <c r="AE194">
        <v>2973</v>
      </c>
      <c r="AF194">
        <v>21222</v>
      </c>
      <c r="AG194">
        <v>5</v>
      </c>
      <c r="AH194">
        <v>15</v>
      </c>
      <c r="AI194">
        <v>3</v>
      </c>
      <c r="AJ194">
        <v>2</v>
      </c>
      <c r="AK194">
        <v>80</v>
      </c>
      <c r="AL194">
        <v>1</v>
      </c>
      <c r="AM194">
        <v>10</v>
      </c>
      <c r="AN194">
        <v>3</v>
      </c>
      <c r="AO194">
        <v>5</v>
      </c>
      <c r="AP194">
        <v>4</v>
      </c>
      <c r="AQ194">
        <v>0</v>
      </c>
      <c r="AR194">
        <v>0</v>
      </c>
    </row>
    <row r="195" spans="1:44" x14ac:dyDescent="0.3">
      <c r="A195" t="s">
        <v>56</v>
      </c>
      <c r="B195" t="s">
        <v>57</v>
      </c>
      <c r="C195" t="s">
        <v>69</v>
      </c>
      <c r="D195" t="s">
        <v>59</v>
      </c>
      <c r="E195" t="s">
        <v>48</v>
      </c>
      <c r="F195" t="s">
        <v>49</v>
      </c>
      <c r="G195" t="s">
        <v>725</v>
      </c>
      <c r="H195">
        <v>889</v>
      </c>
      <c r="I195" t="s">
        <v>62</v>
      </c>
      <c r="J195" t="s">
        <v>52</v>
      </c>
      <c r="K195" t="s">
        <v>64</v>
      </c>
      <c r="L195" t="s">
        <v>56</v>
      </c>
      <c r="M195" t="s">
        <v>54</v>
      </c>
      <c r="N195">
        <v>3</v>
      </c>
      <c r="O195">
        <v>-2</v>
      </c>
      <c r="P195">
        <v>0</v>
      </c>
      <c r="Q195">
        <v>32</v>
      </c>
      <c r="R195">
        <v>0</v>
      </c>
      <c r="T195">
        <v>0</v>
      </c>
      <c r="U195">
        <v>1</v>
      </c>
      <c r="V195">
        <v>379</v>
      </c>
      <c r="W195">
        <v>5</v>
      </c>
      <c r="X195" t="s">
        <v>55</v>
      </c>
      <c r="Y195">
        <v>1</v>
      </c>
      <c r="Z195">
        <v>2</v>
      </c>
      <c r="AA195">
        <v>48</v>
      </c>
      <c r="AB195">
        <v>3</v>
      </c>
      <c r="AC195">
        <v>2</v>
      </c>
      <c r="AD195">
        <v>1</v>
      </c>
      <c r="AE195">
        <v>6524</v>
      </c>
      <c r="AF195">
        <v>8891</v>
      </c>
      <c r="AG195">
        <v>1</v>
      </c>
      <c r="AH195">
        <v>14</v>
      </c>
      <c r="AI195">
        <v>3</v>
      </c>
      <c r="AJ195">
        <v>4</v>
      </c>
      <c r="AK195">
        <v>80</v>
      </c>
      <c r="AL195">
        <v>1</v>
      </c>
      <c r="AM195">
        <v>10</v>
      </c>
      <c r="AN195">
        <v>3</v>
      </c>
      <c r="AO195">
        <v>10</v>
      </c>
      <c r="AP195">
        <v>8</v>
      </c>
      <c r="AQ195">
        <v>5</v>
      </c>
      <c r="AR195">
        <v>3</v>
      </c>
    </row>
    <row r="196" spans="1:44" x14ac:dyDescent="0.3">
      <c r="A196" t="s">
        <v>44</v>
      </c>
      <c r="B196" t="s">
        <v>45</v>
      </c>
      <c r="C196" t="s">
        <v>46</v>
      </c>
      <c r="D196" t="s">
        <v>47</v>
      </c>
      <c r="E196" t="s">
        <v>60</v>
      </c>
      <c r="F196" t="s">
        <v>49</v>
      </c>
      <c r="G196" t="s">
        <v>276</v>
      </c>
      <c r="H196">
        <v>261</v>
      </c>
      <c r="I196" t="s">
        <v>62</v>
      </c>
      <c r="J196" t="s">
        <v>81</v>
      </c>
      <c r="K196" t="s">
        <v>64</v>
      </c>
      <c r="L196" t="s">
        <v>44</v>
      </c>
      <c r="M196" t="s">
        <v>54</v>
      </c>
      <c r="N196">
        <v>1</v>
      </c>
      <c r="O196">
        <v>-2</v>
      </c>
      <c r="P196">
        <v>0</v>
      </c>
      <c r="Q196">
        <v>35</v>
      </c>
      <c r="R196">
        <v>1</v>
      </c>
      <c r="S196">
        <v>1</v>
      </c>
      <c r="T196">
        <v>1</v>
      </c>
      <c r="U196">
        <v>0</v>
      </c>
      <c r="V196">
        <v>556</v>
      </c>
      <c r="W196">
        <v>23</v>
      </c>
      <c r="X196" t="s">
        <v>55</v>
      </c>
      <c r="Y196">
        <v>1</v>
      </c>
      <c r="Z196">
        <v>2</v>
      </c>
      <c r="AA196">
        <v>50</v>
      </c>
      <c r="AB196">
        <v>2</v>
      </c>
      <c r="AC196">
        <v>2</v>
      </c>
      <c r="AD196">
        <v>2</v>
      </c>
      <c r="AE196">
        <v>5916</v>
      </c>
      <c r="AF196">
        <v>15497</v>
      </c>
      <c r="AG196">
        <v>3</v>
      </c>
      <c r="AH196">
        <v>13</v>
      </c>
      <c r="AI196">
        <v>3</v>
      </c>
      <c r="AJ196">
        <v>1</v>
      </c>
      <c r="AK196">
        <v>80</v>
      </c>
      <c r="AL196">
        <v>0</v>
      </c>
      <c r="AM196">
        <v>8</v>
      </c>
      <c r="AN196">
        <v>3</v>
      </c>
      <c r="AO196">
        <v>1</v>
      </c>
      <c r="AP196">
        <v>0</v>
      </c>
      <c r="AQ196">
        <v>0</v>
      </c>
      <c r="AR196">
        <v>1</v>
      </c>
    </row>
    <row r="197" spans="1:44" x14ac:dyDescent="0.3">
      <c r="A197" t="s">
        <v>56</v>
      </c>
      <c r="B197" t="s">
        <v>45</v>
      </c>
      <c r="C197" t="s">
        <v>92</v>
      </c>
      <c r="D197" t="s">
        <v>59</v>
      </c>
      <c r="E197" t="s">
        <v>60</v>
      </c>
      <c r="F197" t="s">
        <v>49</v>
      </c>
      <c r="G197" t="s">
        <v>714</v>
      </c>
      <c r="H197">
        <v>872</v>
      </c>
      <c r="I197" t="s">
        <v>62</v>
      </c>
      <c r="J197" t="s">
        <v>81</v>
      </c>
      <c r="K197" t="s">
        <v>64</v>
      </c>
      <c r="L197" t="s">
        <v>56</v>
      </c>
      <c r="M197" t="s">
        <v>54</v>
      </c>
      <c r="N197">
        <v>2</v>
      </c>
      <c r="O197">
        <v>-2</v>
      </c>
      <c r="P197">
        <v>0</v>
      </c>
      <c r="Q197">
        <v>22</v>
      </c>
      <c r="R197">
        <v>0</v>
      </c>
      <c r="T197">
        <v>0</v>
      </c>
      <c r="U197">
        <v>1</v>
      </c>
      <c r="V197">
        <v>1230</v>
      </c>
      <c r="W197">
        <v>1</v>
      </c>
      <c r="X197" t="s">
        <v>55</v>
      </c>
      <c r="Y197">
        <v>1</v>
      </c>
      <c r="Z197">
        <v>4</v>
      </c>
      <c r="AA197">
        <v>33</v>
      </c>
      <c r="AB197">
        <v>2</v>
      </c>
      <c r="AC197">
        <v>2</v>
      </c>
      <c r="AD197">
        <v>1</v>
      </c>
      <c r="AE197">
        <v>4775</v>
      </c>
      <c r="AF197">
        <v>19146</v>
      </c>
      <c r="AG197">
        <v>6</v>
      </c>
      <c r="AH197">
        <v>22</v>
      </c>
      <c r="AI197">
        <v>4</v>
      </c>
      <c r="AJ197">
        <v>1</v>
      </c>
      <c r="AK197">
        <v>80</v>
      </c>
      <c r="AL197">
        <v>2</v>
      </c>
      <c r="AM197">
        <v>4</v>
      </c>
      <c r="AN197">
        <v>1</v>
      </c>
      <c r="AO197">
        <v>2</v>
      </c>
      <c r="AP197">
        <v>2</v>
      </c>
      <c r="AQ197">
        <v>2</v>
      </c>
      <c r="AR197">
        <v>2</v>
      </c>
    </row>
    <row r="198" spans="1:44" x14ac:dyDescent="0.3">
      <c r="A198" t="s">
        <v>56</v>
      </c>
      <c r="B198" t="s">
        <v>91</v>
      </c>
      <c r="C198" t="s">
        <v>58</v>
      </c>
      <c r="D198" t="s">
        <v>59</v>
      </c>
      <c r="E198" t="s">
        <v>60</v>
      </c>
      <c r="F198" t="s">
        <v>72</v>
      </c>
      <c r="G198" t="s">
        <v>278</v>
      </c>
      <c r="H198">
        <v>264</v>
      </c>
      <c r="I198" t="s">
        <v>62</v>
      </c>
      <c r="J198" t="s">
        <v>95</v>
      </c>
      <c r="K198" t="s">
        <v>64</v>
      </c>
      <c r="L198" t="s">
        <v>56</v>
      </c>
      <c r="M198" t="s">
        <v>54</v>
      </c>
      <c r="N198">
        <v>1</v>
      </c>
      <c r="O198">
        <v>-2</v>
      </c>
      <c r="P198">
        <v>0</v>
      </c>
      <c r="Q198">
        <v>45</v>
      </c>
      <c r="R198">
        <v>0</v>
      </c>
      <c r="T198">
        <v>0</v>
      </c>
      <c r="U198">
        <v>1</v>
      </c>
      <c r="V198">
        <v>1195</v>
      </c>
      <c r="W198">
        <v>2</v>
      </c>
      <c r="X198" t="s">
        <v>55</v>
      </c>
      <c r="Y198">
        <v>1</v>
      </c>
      <c r="Z198">
        <v>1</v>
      </c>
      <c r="AA198">
        <v>65</v>
      </c>
      <c r="AB198">
        <v>2</v>
      </c>
      <c r="AC198">
        <v>4</v>
      </c>
      <c r="AD198">
        <v>4</v>
      </c>
      <c r="AE198">
        <v>16792</v>
      </c>
      <c r="AF198">
        <v>20462</v>
      </c>
      <c r="AG198">
        <v>9</v>
      </c>
      <c r="AH198">
        <v>23</v>
      </c>
      <c r="AI198">
        <v>4</v>
      </c>
      <c r="AJ198">
        <v>4</v>
      </c>
      <c r="AK198">
        <v>80</v>
      </c>
      <c r="AL198">
        <v>1</v>
      </c>
      <c r="AM198">
        <v>22</v>
      </c>
      <c r="AN198">
        <v>3</v>
      </c>
      <c r="AO198">
        <v>20</v>
      </c>
      <c r="AP198">
        <v>8</v>
      </c>
      <c r="AQ198">
        <v>11</v>
      </c>
      <c r="AR198">
        <v>8</v>
      </c>
    </row>
    <row r="199" spans="1:44" x14ac:dyDescent="0.3">
      <c r="A199" t="s">
        <v>56</v>
      </c>
      <c r="B199" t="s">
        <v>45</v>
      </c>
      <c r="C199" t="s">
        <v>69</v>
      </c>
      <c r="D199" t="s">
        <v>59</v>
      </c>
      <c r="E199" t="s">
        <v>161</v>
      </c>
      <c r="F199" t="s">
        <v>72</v>
      </c>
      <c r="G199" t="s">
        <v>713</v>
      </c>
      <c r="H199">
        <v>869</v>
      </c>
      <c r="I199" t="s">
        <v>62</v>
      </c>
      <c r="J199" t="s">
        <v>163</v>
      </c>
      <c r="K199" t="s">
        <v>79</v>
      </c>
      <c r="L199" t="s">
        <v>56</v>
      </c>
      <c r="M199" t="s">
        <v>54</v>
      </c>
      <c r="N199">
        <v>6</v>
      </c>
      <c r="O199">
        <v>-2</v>
      </c>
      <c r="P199">
        <v>0</v>
      </c>
      <c r="Q199">
        <v>28</v>
      </c>
      <c r="R199">
        <v>0</v>
      </c>
      <c r="T199">
        <v>0</v>
      </c>
      <c r="U199">
        <v>1</v>
      </c>
      <c r="V199">
        <v>1169</v>
      </c>
      <c r="W199">
        <v>8</v>
      </c>
      <c r="X199" t="s">
        <v>55</v>
      </c>
      <c r="Y199">
        <v>1</v>
      </c>
      <c r="Z199">
        <v>2</v>
      </c>
      <c r="AA199">
        <v>63</v>
      </c>
      <c r="AB199">
        <v>2</v>
      </c>
      <c r="AC199">
        <v>1</v>
      </c>
      <c r="AD199">
        <v>4</v>
      </c>
      <c r="AE199">
        <v>4936</v>
      </c>
      <c r="AF199">
        <v>23965</v>
      </c>
      <c r="AG199">
        <v>1</v>
      </c>
      <c r="AH199">
        <v>13</v>
      </c>
      <c r="AI199">
        <v>3</v>
      </c>
      <c r="AJ199">
        <v>4</v>
      </c>
      <c r="AK199">
        <v>80</v>
      </c>
      <c r="AL199">
        <v>1</v>
      </c>
      <c r="AM199">
        <v>6</v>
      </c>
      <c r="AN199">
        <v>3</v>
      </c>
      <c r="AO199">
        <v>5</v>
      </c>
      <c r="AP199">
        <v>1</v>
      </c>
      <c r="AQ199">
        <v>0</v>
      </c>
      <c r="AR199">
        <v>4</v>
      </c>
    </row>
    <row r="200" spans="1:44" x14ac:dyDescent="0.3">
      <c r="A200" t="s">
        <v>56</v>
      </c>
      <c r="B200" t="s">
        <v>45</v>
      </c>
      <c r="C200" t="s">
        <v>69</v>
      </c>
      <c r="D200" t="s">
        <v>59</v>
      </c>
      <c r="E200" t="s">
        <v>60</v>
      </c>
      <c r="F200" t="s">
        <v>72</v>
      </c>
      <c r="G200" t="s">
        <v>710</v>
      </c>
      <c r="H200">
        <v>865</v>
      </c>
      <c r="I200" t="s">
        <v>51</v>
      </c>
      <c r="J200" t="s">
        <v>63</v>
      </c>
      <c r="K200" t="s">
        <v>64</v>
      </c>
      <c r="L200" t="s">
        <v>56</v>
      </c>
      <c r="M200" t="s">
        <v>54</v>
      </c>
      <c r="N200">
        <v>3</v>
      </c>
      <c r="O200">
        <v>-2</v>
      </c>
      <c r="P200">
        <v>0</v>
      </c>
      <c r="Q200">
        <v>32</v>
      </c>
      <c r="R200">
        <v>0</v>
      </c>
      <c r="T200">
        <v>0</v>
      </c>
      <c r="U200">
        <v>1</v>
      </c>
      <c r="V200">
        <v>638</v>
      </c>
      <c r="W200">
        <v>8</v>
      </c>
      <c r="X200" t="s">
        <v>55</v>
      </c>
      <c r="Y200">
        <v>1</v>
      </c>
      <c r="Z200">
        <v>3</v>
      </c>
      <c r="AA200">
        <v>91</v>
      </c>
      <c r="AB200">
        <v>4</v>
      </c>
      <c r="AC200">
        <v>2</v>
      </c>
      <c r="AD200">
        <v>3</v>
      </c>
      <c r="AE200">
        <v>5175</v>
      </c>
      <c r="AF200">
        <v>22162</v>
      </c>
      <c r="AG200">
        <v>5</v>
      </c>
      <c r="AH200">
        <v>12</v>
      </c>
      <c r="AI200">
        <v>3</v>
      </c>
      <c r="AJ200">
        <v>3</v>
      </c>
      <c r="AK200">
        <v>80</v>
      </c>
      <c r="AL200">
        <v>1</v>
      </c>
      <c r="AM200">
        <v>9</v>
      </c>
      <c r="AN200">
        <v>2</v>
      </c>
      <c r="AO200">
        <v>5</v>
      </c>
      <c r="AP200">
        <v>3</v>
      </c>
      <c r="AQ200">
        <v>1</v>
      </c>
      <c r="AR200">
        <v>3</v>
      </c>
    </row>
    <row r="201" spans="1:44" x14ac:dyDescent="0.3">
      <c r="A201" t="s">
        <v>56</v>
      </c>
      <c r="B201" t="s">
        <v>91</v>
      </c>
      <c r="C201" t="s">
        <v>46</v>
      </c>
      <c r="D201" t="s">
        <v>59</v>
      </c>
      <c r="E201" t="s">
        <v>60</v>
      </c>
      <c r="F201" t="s">
        <v>72</v>
      </c>
      <c r="G201" t="s">
        <v>281</v>
      </c>
      <c r="H201">
        <v>270</v>
      </c>
      <c r="I201" t="s">
        <v>51</v>
      </c>
      <c r="J201" t="s">
        <v>81</v>
      </c>
      <c r="K201" t="s">
        <v>79</v>
      </c>
      <c r="L201" t="s">
        <v>56</v>
      </c>
      <c r="M201" t="s">
        <v>54</v>
      </c>
      <c r="N201">
        <v>5</v>
      </c>
      <c r="O201">
        <v>-2</v>
      </c>
      <c r="P201">
        <v>0</v>
      </c>
      <c r="Q201">
        <v>42</v>
      </c>
      <c r="R201">
        <v>0</v>
      </c>
      <c r="T201">
        <v>0</v>
      </c>
      <c r="U201">
        <v>1</v>
      </c>
      <c r="V201">
        <v>926</v>
      </c>
      <c r="W201">
        <v>21</v>
      </c>
      <c r="X201" t="s">
        <v>55</v>
      </c>
      <c r="Y201">
        <v>1</v>
      </c>
      <c r="Z201">
        <v>3</v>
      </c>
      <c r="AA201">
        <v>36</v>
      </c>
      <c r="AB201">
        <v>3</v>
      </c>
      <c r="AC201">
        <v>2</v>
      </c>
      <c r="AD201">
        <v>3</v>
      </c>
      <c r="AE201">
        <v>5265</v>
      </c>
      <c r="AF201">
        <v>16439</v>
      </c>
      <c r="AG201">
        <v>2</v>
      </c>
      <c r="AH201">
        <v>16</v>
      </c>
      <c r="AI201">
        <v>3</v>
      </c>
      <c r="AJ201">
        <v>2</v>
      </c>
      <c r="AK201">
        <v>80</v>
      </c>
      <c r="AL201">
        <v>1</v>
      </c>
      <c r="AM201">
        <v>11</v>
      </c>
      <c r="AN201">
        <v>3</v>
      </c>
      <c r="AO201">
        <v>5</v>
      </c>
      <c r="AP201">
        <v>3</v>
      </c>
      <c r="AQ201">
        <v>0</v>
      </c>
      <c r="AR201">
        <v>2</v>
      </c>
    </row>
    <row r="202" spans="1:44" x14ac:dyDescent="0.3">
      <c r="A202" t="s">
        <v>56</v>
      </c>
      <c r="B202" t="s">
        <v>45</v>
      </c>
      <c r="C202" t="s">
        <v>58</v>
      </c>
      <c r="D202" t="s">
        <v>59</v>
      </c>
      <c r="E202" t="s">
        <v>48</v>
      </c>
      <c r="F202" t="s">
        <v>106</v>
      </c>
      <c r="G202" t="s">
        <v>708</v>
      </c>
      <c r="H202">
        <v>862</v>
      </c>
      <c r="I202" t="s">
        <v>51</v>
      </c>
      <c r="J202" t="s">
        <v>52</v>
      </c>
      <c r="K202" t="s">
        <v>64</v>
      </c>
      <c r="L202" t="s">
        <v>44</v>
      </c>
      <c r="M202" t="s">
        <v>54</v>
      </c>
      <c r="N202">
        <v>3</v>
      </c>
      <c r="O202">
        <v>-2</v>
      </c>
      <c r="P202">
        <v>0</v>
      </c>
      <c r="Q202">
        <v>53</v>
      </c>
      <c r="R202">
        <v>0</v>
      </c>
      <c r="T202">
        <v>0</v>
      </c>
      <c r="U202">
        <v>1</v>
      </c>
      <c r="V202">
        <v>661</v>
      </c>
      <c r="W202">
        <v>7</v>
      </c>
      <c r="X202" t="s">
        <v>55</v>
      </c>
      <c r="Y202">
        <v>1</v>
      </c>
      <c r="Z202">
        <v>1</v>
      </c>
      <c r="AA202">
        <v>78</v>
      </c>
      <c r="AB202">
        <v>2</v>
      </c>
      <c r="AC202">
        <v>3</v>
      </c>
      <c r="AD202">
        <v>2</v>
      </c>
      <c r="AE202">
        <v>10934</v>
      </c>
      <c r="AF202">
        <v>20715</v>
      </c>
      <c r="AG202">
        <v>7</v>
      </c>
      <c r="AH202">
        <v>18</v>
      </c>
      <c r="AI202">
        <v>3</v>
      </c>
      <c r="AJ202">
        <v>4</v>
      </c>
      <c r="AK202">
        <v>80</v>
      </c>
      <c r="AL202">
        <v>1</v>
      </c>
      <c r="AM202">
        <v>35</v>
      </c>
      <c r="AN202">
        <v>3</v>
      </c>
      <c r="AO202">
        <v>5</v>
      </c>
      <c r="AP202">
        <v>2</v>
      </c>
      <c r="AQ202">
        <v>0</v>
      </c>
      <c r="AR202">
        <v>4</v>
      </c>
    </row>
    <row r="203" spans="1:44" x14ac:dyDescent="0.3">
      <c r="A203" t="s">
        <v>56</v>
      </c>
      <c r="B203" t="s">
        <v>45</v>
      </c>
      <c r="C203" t="s">
        <v>46</v>
      </c>
      <c r="D203" t="s">
        <v>59</v>
      </c>
      <c r="E203" t="s">
        <v>48</v>
      </c>
      <c r="F203" t="s">
        <v>49</v>
      </c>
      <c r="G203" t="s">
        <v>705</v>
      </c>
      <c r="H203">
        <v>857</v>
      </c>
      <c r="I203" t="s">
        <v>62</v>
      </c>
      <c r="J203" t="s">
        <v>52</v>
      </c>
      <c r="K203" t="s">
        <v>64</v>
      </c>
      <c r="L203" t="s">
        <v>44</v>
      </c>
      <c r="M203" t="s">
        <v>54</v>
      </c>
      <c r="N203">
        <v>1</v>
      </c>
      <c r="O203">
        <v>-2</v>
      </c>
      <c r="P203">
        <v>0</v>
      </c>
      <c r="Q203">
        <v>36</v>
      </c>
      <c r="R203">
        <v>0</v>
      </c>
      <c r="T203">
        <v>0</v>
      </c>
      <c r="U203">
        <v>1</v>
      </c>
      <c r="V203">
        <v>928</v>
      </c>
      <c r="W203">
        <v>1</v>
      </c>
      <c r="X203" t="s">
        <v>55</v>
      </c>
      <c r="Y203">
        <v>1</v>
      </c>
      <c r="Z203">
        <v>2</v>
      </c>
      <c r="AA203">
        <v>56</v>
      </c>
      <c r="AB203">
        <v>3</v>
      </c>
      <c r="AC203">
        <v>2</v>
      </c>
      <c r="AD203">
        <v>1</v>
      </c>
      <c r="AE203">
        <v>6201</v>
      </c>
      <c r="AF203">
        <v>2823</v>
      </c>
      <c r="AG203">
        <v>1</v>
      </c>
      <c r="AH203">
        <v>14</v>
      </c>
      <c r="AI203">
        <v>3</v>
      </c>
      <c r="AJ203">
        <v>4</v>
      </c>
      <c r="AK203">
        <v>80</v>
      </c>
      <c r="AL203">
        <v>1</v>
      </c>
      <c r="AM203">
        <v>18</v>
      </c>
      <c r="AN203">
        <v>2</v>
      </c>
      <c r="AO203">
        <v>18</v>
      </c>
      <c r="AP203">
        <v>14</v>
      </c>
      <c r="AQ203">
        <v>4</v>
      </c>
      <c r="AR203">
        <v>11</v>
      </c>
    </row>
    <row r="204" spans="1:44" x14ac:dyDescent="0.3">
      <c r="A204" t="s">
        <v>44</v>
      </c>
      <c r="B204" t="s">
        <v>57</v>
      </c>
      <c r="C204" t="s">
        <v>69</v>
      </c>
      <c r="D204" t="s">
        <v>47</v>
      </c>
      <c r="E204" t="s">
        <v>60</v>
      </c>
      <c r="F204" t="s">
        <v>72</v>
      </c>
      <c r="G204" t="s">
        <v>698</v>
      </c>
      <c r="H204">
        <v>848</v>
      </c>
      <c r="I204" t="s">
        <v>51</v>
      </c>
      <c r="J204" t="s">
        <v>63</v>
      </c>
      <c r="K204" t="s">
        <v>64</v>
      </c>
      <c r="L204" t="s">
        <v>44</v>
      </c>
      <c r="M204" t="s">
        <v>54</v>
      </c>
      <c r="N204">
        <v>2</v>
      </c>
      <c r="O204">
        <v>-2</v>
      </c>
      <c r="P204">
        <v>0</v>
      </c>
      <c r="Q204">
        <v>26</v>
      </c>
      <c r="R204">
        <v>1</v>
      </c>
      <c r="S204">
        <v>1</v>
      </c>
      <c r="T204">
        <v>1</v>
      </c>
      <c r="U204">
        <v>0</v>
      </c>
      <c r="V204">
        <v>887</v>
      </c>
      <c r="W204">
        <v>5</v>
      </c>
      <c r="X204" t="s">
        <v>55</v>
      </c>
      <c r="Y204">
        <v>1</v>
      </c>
      <c r="Z204">
        <v>3</v>
      </c>
      <c r="AA204">
        <v>88</v>
      </c>
      <c r="AB204">
        <v>2</v>
      </c>
      <c r="AC204">
        <v>1</v>
      </c>
      <c r="AD204">
        <v>3</v>
      </c>
      <c r="AE204">
        <v>2366</v>
      </c>
      <c r="AF204">
        <v>20898</v>
      </c>
      <c r="AG204">
        <v>1</v>
      </c>
      <c r="AH204">
        <v>14</v>
      </c>
      <c r="AI204">
        <v>3</v>
      </c>
      <c r="AJ204">
        <v>1</v>
      </c>
      <c r="AK204">
        <v>80</v>
      </c>
      <c r="AL204">
        <v>1</v>
      </c>
      <c r="AM204">
        <v>8</v>
      </c>
      <c r="AN204">
        <v>3</v>
      </c>
      <c r="AO204">
        <v>8</v>
      </c>
      <c r="AP204">
        <v>7</v>
      </c>
      <c r="AQ204">
        <v>1</v>
      </c>
      <c r="AR204">
        <v>7</v>
      </c>
    </row>
    <row r="205" spans="1:44" x14ac:dyDescent="0.3">
      <c r="A205" t="s">
        <v>56</v>
      </c>
      <c r="B205" t="s">
        <v>45</v>
      </c>
      <c r="C205" t="s">
        <v>69</v>
      </c>
      <c r="D205" t="s">
        <v>59</v>
      </c>
      <c r="E205" t="s">
        <v>161</v>
      </c>
      <c r="F205" t="s">
        <v>163</v>
      </c>
      <c r="G205" t="s">
        <v>697</v>
      </c>
      <c r="H205">
        <v>847</v>
      </c>
      <c r="I205" t="s">
        <v>62</v>
      </c>
      <c r="J205" t="s">
        <v>163</v>
      </c>
      <c r="K205" t="s">
        <v>64</v>
      </c>
      <c r="L205" t="s">
        <v>56</v>
      </c>
      <c r="M205" t="s">
        <v>54</v>
      </c>
      <c r="N205">
        <v>1</v>
      </c>
      <c r="O205">
        <v>-2</v>
      </c>
      <c r="P205">
        <v>0</v>
      </c>
      <c r="Q205">
        <v>34</v>
      </c>
      <c r="R205">
        <v>0</v>
      </c>
      <c r="T205">
        <v>0</v>
      </c>
      <c r="U205">
        <v>1</v>
      </c>
      <c r="V205">
        <v>829</v>
      </c>
      <c r="W205">
        <v>3</v>
      </c>
      <c r="X205" t="s">
        <v>55</v>
      </c>
      <c r="Y205">
        <v>1</v>
      </c>
      <c r="Z205">
        <v>3</v>
      </c>
      <c r="AA205">
        <v>88</v>
      </c>
      <c r="AB205">
        <v>3</v>
      </c>
      <c r="AC205">
        <v>1</v>
      </c>
      <c r="AD205">
        <v>4</v>
      </c>
      <c r="AE205">
        <v>3737</v>
      </c>
      <c r="AF205">
        <v>2243</v>
      </c>
      <c r="AG205">
        <v>0</v>
      </c>
      <c r="AH205">
        <v>19</v>
      </c>
      <c r="AI205">
        <v>3</v>
      </c>
      <c r="AJ205">
        <v>3</v>
      </c>
      <c r="AK205">
        <v>80</v>
      </c>
      <c r="AL205">
        <v>1</v>
      </c>
      <c r="AM205">
        <v>4</v>
      </c>
      <c r="AN205">
        <v>1</v>
      </c>
      <c r="AO205">
        <v>3</v>
      </c>
      <c r="AP205">
        <v>2</v>
      </c>
      <c r="AQ205">
        <v>0</v>
      </c>
      <c r="AR205">
        <v>2</v>
      </c>
    </row>
    <row r="206" spans="1:44" x14ac:dyDescent="0.3">
      <c r="A206" t="s">
        <v>56</v>
      </c>
      <c r="B206" t="s">
        <v>45</v>
      </c>
      <c r="C206" t="s">
        <v>46</v>
      </c>
      <c r="D206" t="s">
        <v>59</v>
      </c>
      <c r="E206" t="s">
        <v>60</v>
      </c>
      <c r="F206" t="s">
        <v>49</v>
      </c>
      <c r="G206" t="s">
        <v>693</v>
      </c>
      <c r="H206">
        <v>843</v>
      </c>
      <c r="I206" t="s">
        <v>62</v>
      </c>
      <c r="J206" t="s">
        <v>101</v>
      </c>
      <c r="K206" t="s">
        <v>64</v>
      </c>
      <c r="L206" t="s">
        <v>56</v>
      </c>
      <c r="M206" t="s">
        <v>54</v>
      </c>
      <c r="N206">
        <v>3</v>
      </c>
      <c r="O206">
        <v>-2</v>
      </c>
      <c r="P206">
        <v>0</v>
      </c>
      <c r="Q206">
        <v>43</v>
      </c>
      <c r="R206">
        <v>0</v>
      </c>
      <c r="T206">
        <v>0</v>
      </c>
      <c r="U206">
        <v>1</v>
      </c>
      <c r="V206">
        <v>589</v>
      </c>
      <c r="W206">
        <v>14</v>
      </c>
      <c r="X206" t="s">
        <v>55</v>
      </c>
      <c r="Y206">
        <v>1</v>
      </c>
      <c r="Z206">
        <v>2</v>
      </c>
      <c r="AA206">
        <v>94</v>
      </c>
      <c r="AB206">
        <v>3</v>
      </c>
      <c r="AC206">
        <v>4</v>
      </c>
      <c r="AD206">
        <v>1</v>
      </c>
      <c r="AE206">
        <v>17159</v>
      </c>
      <c r="AF206">
        <v>5200</v>
      </c>
      <c r="AG206">
        <v>6</v>
      </c>
      <c r="AH206">
        <v>24</v>
      </c>
      <c r="AI206">
        <v>4</v>
      </c>
      <c r="AJ206">
        <v>3</v>
      </c>
      <c r="AK206">
        <v>80</v>
      </c>
      <c r="AL206">
        <v>1</v>
      </c>
      <c r="AM206">
        <v>22</v>
      </c>
      <c r="AN206">
        <v>3</v>
      </c>
      <c r="AO206">
        <v>4</v>
      </c>
      <c r="AP206">
        <v>1</v>
      </c>
      <c r="AQ206">
        <v>1</v>
      </c>
      <c r="AR206">
        <v>0</v>
      </c>
    </row>
    <row r="207" spans="1:44" x14ac:dyDescent="0.3">
      <c r="A207" t="s">
        <v>56</v>
      </c>
      <c r="B207" t="s">
        <v>45</v>
      </c>
      <c r="C207" t="s">
        <v>46</v>
      </c>
      <c r="D207" t="s">
        <v>59</v>
      </c>
      <c r="E207" t="s">
        <v>60</v>
      </c>
      <c r="F207" t="s">
        <v>72</v>
      </c>
      <c r="G207" t="s">
        <v>287</v>
      </c>
      <c r="H207">
        <v>281</v>
      </c>
      <c r="I207" t="s">
        <v>62</v>
      </c>
      <c r="J207" t="s">
        <v>68</v>
      </c>
      <c r="K207" t="s">
        <v>64</v>
      </c>
      <c r="L207" t="s">
        <v>44</v>
      </c>
      <c r="M207" t="s">
        <v>54</v>
      </c>
      <c r="N207">
        <v>2</v>
      </c>
      <c r="O207">
        <v>-2</v>
      </c>
      <c r="P207">
        <v>0</v>
      </c>
      <c r="Q207">
        <v>40</v>
      </c>
      <c r="R207">
        <v>0</v>
      </c>
      <c r="T207">
        <v>0</v>
      </c>
      <c r="U207">
        <v>1</v>
      </c>
      <c r="V207">
        <v>905</v>
      </c>
      <c r="W207">
        <v>19</v>
      </c>
      <c r="X207" t="s">
        <v>55</v>
      </c>
      <c r="Y207">
        <v>1</v>
      </c>
      <c r="Z207">
        <v>3</v>
      </c>
      <c r="AA207">
        <v>99</v>
      </c>
      <c r="AB207">
        <v>3</v>
      </c>
      <c r="AC207">
        <v>2</v>
      </c>
      <c r="AD207">
        <v>4</v>
      </c>
      <c r="AE207">
        <v>2741</v>
      </c>
      <c r="AF207">
        <v>16523</v>
      </c>
      <c r="AG207">
        <v>8</v>
      </c>
      <c r="AH207">
        <v>15</v>
      </c>
      <c r="AI207">
        <v>3</v>
      </c>
      <c r="AJ207">
        <v>3</v>
      </c>
      <c r="AK207">
        <v>80</v>
      </c>
      <c r="AL207">
        <v>1</v>
      </c>
      <c r="AM207">
        <v>15</v>
      </c>
      <c r="AN207">
        <v>4</v>
      </c>
      <c r="AO207">
        <v>7</v>
      </c>
      <c r="AP207">
        <v>2</v>
      </c>
      <c r="AQ207">
        <v>3</v>
      </c>
      <c r="AR207">
        <v>7</v>
      </c>
    </row>
    <row r="208" spans="1:44" x14ac:dyDescent="0.3">
      <c r="A208" t="s">
        <v>56</v>
      </c>
      <c r="B208" t="s">
        <v>45</v>
      </c>
      <c r="C208" t="s">
        <v>46</v>
      </c>
      <c r="D208" t="s">
        <v>59</v>
      </c>
      <c r="E208" t="s">
        <v>60</v>
      </c>
      <c r="F208" t="s">
        <v>49</v>
      </c>
      <c r="G208" t="s">
        <v>681</v>
      </c>
      <c r="H208">
        <v>827</v>
      </c>
      <c r="I208" t="s">
        <v>51</v>
      </c>
      <c r="J208" t="s">
        <v>81</v>
      </c>
      <c r="K208" t="s">
        <v>64</v>
      </c>
      <c r="L208" t="s">
        <v>44</v>
      </c>
      <c r="M208" t="s">
        <v>54</v>
      </c>
      <c r="N208">
        <v>4</v>
      </c>
      <c r="O208">
        <v>-2</v>
      </c>
      <c r="P208">
        <v>0</v>
      </c>
      <c r="Q208">
        <v>42</v>
      </c>
      <c r="R208">
        <v>0</v>
      </c>
      <c r="T208">
        <v>0</v>
      </c>
      <c r="U208">
        <v>1</v>
      </c>
      <c r="V208">
        <v>932</v>
      </c>
      <c r="W208">
        <v>1</v>
      </c>
      <c r="X208" t="s">
        <v>55</v>
      </c>
      <c r="Y208">
        <v>1</v>
      </c>
      <c r="Z208">
        <v>4</v>
      </c>
      <c r="AA208">
        <v>43</v>
      </c>
      <c r="AB208">
        <v>2</v>
      </c>
      <c r="AC208">
        <v>2</v>
      </c>
      <c r="AD208">
        <v>1</v>
      </c>
      <c r="AE208">
        <v>6062</v>
      </c>
      <c r="AF208">
        <v>4051</v>
      </c>
      <c r="AG208">
        <v>9</v>
      </c>
      <c r="AH208">
        <v>13</v>
      </c>
      <c r="AI208">
        <v>3</v>
      </c>
      <c r="AJ208">
        <v>4</v>
      </c>
      <c r="AK208">
        <v>80</v>
      </c>
      <c r="AL208">
        <v>1</v>
      </c>
      <c r="AM208">
        <v>8</v>
      </c>
      <c r="AN208">
        <v>3</v>
      </c>
      <c r="AO208">
        <v>4</v>
      </c>
      <c r="AP208">
        <v>3</v>
      </c>
      <c r="AQ208">
        <v>0</v>
      </c>
      <c r="AR208">
        <v>2</v>
      </c>
    </row>
    <row r="209" spans="1:44" x14ac:dyDescent="0.3">
      <c r="A209" t="s">
        <v>56</v>
      </c>
      <c r="B209" t="s">
        <v>45</v>
      </c>
      <c r="C209" t="s">
        <v>69</v>
      </c>
      <c r="D209" t="s">
        <v>59</v>
      </c>
      <c r="E209" t="s">
        <v>60</v>
      </c>
      <c r="F209" t="s">
        <v>49</v>
      </c>
      <c r="G209" t="s">
        <v>678</v>
      </c>
      <c r="H209">
        <v>824</v>
      </c>
      <c r="I209" t="s">
        <v>62</v>
      </c>
      <c r="J209" t="s">
        <v>63</v>
      </c>
      <c r="K209" t="s">
        <v>64</v>
      </c>
      <c r="L209" t="s">
        <v>56</v>
      </c>
      <c r="M209" t="s">
        <v>54</v>
      </c>
      <c r="N209">
        <v>3</v>
      </c>
      <c r="O209">
        <v>-2</v>
      </c>
      <c r="P209">
        <v>0</v>
      </c>
      <c r="Q209">
        <v>29</v>
      </c>
      <c r="R209">
        <v>0</v>
      </c>
      <c r="T209">
        <v>0</v>
      </c>
      <c r="U209">
        <v>1</v>
      </c>
      <c r="V209">
        <v>1252</v>
      </c>
      <c r="W209">
        <v>23</v>
      </c>
      <c r="X209" t="s">
        <v>55</v>
      </c>
      <c r="Y209">
        <v>1</v>
      </c>
      <c r="Z209">
        <v>3</v>
      </c>
      <c r="AA209">
        <v>81</v>
      </c>
      <c r="AB209">
        <v>4</v>
      </c>
      <c r="AC209">
        <v>1</v>
      </c>
      <c r="AD209">
        <v>1</v>
      </c>
      <c r="AE209">
        <v>2700</v>
      </c>
      <c r="AF209">
        <v>23779</v>
      </c>
      <c r="AG209">
        <v>1</v>
      </c>
      <c r="AH209">
        <v>24</v>
      </c>
      <c r="AI209">
        <v>4</v>
      </c>
      <c r="AJ209">
        <v>3</v>
      </c>
      <c r="AK209">
        <v>80</v>
      </c>
      <c r="AL209">
        <v>1</v>
      </c>
      <c r="AM209">
        <v>10</v>
      </c>
      <c r="AN209">
        <v>3</v>
      </c>
      <c r="AO209">
        <v>10</v>
      </c>
      <c r="AP209">
        <v>7</v>
      </c>
      <c r="AQ209">
        <v>0</v>
      </c>
      <c r="AR209">
        <v>7</v>
      </c>
    </row>
    <row r="210" spans="1:44" x14ac:dyDescent="0.3">
      <c r="A210" t="s">
        <v>56</v>
      </c>
      <c r="B210" t="s">
        <v>45</v>
      </c>
      <c r="C210" t="s">
        <v>58</v>
      </c>
      <c r="D210" t="s">
        <v>59</v>
      </c>
      <c r="E210" t="s">
        <v>60</v>
      </c>
      <c r="F210" t="s">
        <v>66</v>
      </c>
      <c r="G210" t="s">
        <v>676</v>
      </c>
      <c r="H210">
        <v>820</v>
      </c>
      <c r="I210" t="s">
        <v>51</v>
      </c>
      <c r="J210" t="s">
        <v>95</v>
      </c>
      <c r="K210" t="s">
        <v>64</v>
      </c>
      <c r="L210" t="s">
        <v>44</v>
      </c>
      <c r="M210" t="s">
        <v>54</v>
      </c>
      <c r="N210">
        <v>3</v>
      </c>
      <c r="O210">
        <v>-2</v>
      </c>
      <c r="P210">
        <v>0</v>
      </c>
      <c r="Q210">
        <v>47</v>
      </c>
      <c r="R210">
        <v>0</v>
      </c>
      <c r="T210">
        <v>0</v>
      </c>
      <c r="U210">
        <v>1</v>
      </c>
      <c r="V210">
        <v>202</v>
      </c>
      <c r="W210">
        <v>2</v>
      </c>
      <c r="X210" t="s">
        <v>55</v>
      </c>
      <c r="Y210">
        <v>1</v>
      </c>
      <c r="Z210">
        <v>3</v>
      </c>
      <c r="AA210">
        <v>33</v>
      </c>
      <c r="AB210">
        <v>3</v>
      </c>
      <c r="AC210">
        <v>4</v>
      </c>
      <c r="AD210">
        <v>4</v>
      </c>
      <c r="AE210">
        <v>16752</v>
      </c>
      <c r="AF210">
        <v>12982</v>
      </c>
      <c r="AG210">
        <v>1</v>
      </c>
      <c r="AH210">
        <v>11</v>
      </c>
      <c r="AI210">
        <v>3</v>
      </c>
      <c r="AJ210">
        <v>3</v>
      </c>
      <c r="AK210">
        <v>80</v>
      </c>
      <c r="AL210">
        <v>1</v>
      </c>
      <c r="AM210">
        <v>26</v>
      </c>
      <c r="AN210">
        <v>2</v>
      </c>
      <c r="AO210">
        <v>26</v>
      </c>
      <c r="AP210">
        <v>14</v>
      </c>
      <c r="AQ210">
        <v>3</v>
      </c>
      <c r="AR210">
        <v>0</v>
      </c>
    </row>
    <row r="211" spans="1:44" x14ac:dyDescent="0.3">
      <c r="A211" t="s">
        <v>44</v>
      </c>
      <c r="B211" t="s">
        <v>45</v>
      </c>
      <c r="C211" t="s">
        <v>69</v>
      </c>
      <c r="D211" t="s">
        <v>47</v>
      </c>
      <c r="E211" t="s">
        <v>60</v>
      </c>
      <c r="F211" t="s">
        <v>49</v>
      </c>
      <c r="G211" t="s">
        <v>673</v>
      </c>
      <c r="H211">
        <v>816</v>
      </c>
      <c r="I211" t="s">
        <v>51</v>
      </c>
      <c r="J211" t="s">
        <v>68</v>
      </c>
      <c r="K211" t="s">
        <v>64</v>
      </c>
      <c r="L211" t="s">
        <v>44</v>
      </c>
      <c r="M211" t="s">
        <v>54</v>
      </c>
      <c r="N211">
        <v>1</v>
      </c>
      <c r="O211">
        <v>-2</v>
      </c>
      <c r="P211">
        <v>0</v>
      </c>
      <c r="Q211">
        <v>29</v>
      </c>
      <c r="R211">
        <v>1</v>
      </c>
      <c r="S211">
        <v>1</v>
      </c>
      <c r="T211">
        <v>1</v>
      </c>
      <c r="U211">
        <v>0</v>
      </c>
      <c r="V211">
        <v>805</v>
      </c>
      <c r="W211">
        <v>1</v>
      </c>
      <c r="X211" t="s">
        <v>55</v>
      </c>
      <c r="Y211">
        <v>1</v>
      </c>
      <c r="Z211">
        <v>2</v>
      </c>
      <c r="AA211">
        <v>36</v>
      </c>
      <c r="AB211">
        <v>2</v>
      </c>
      <c r="AC211">
        <v>1</v>
      </c>
      <c r="AD211">
        <v>1</v>
      </c>
      <c r="AE211">
        <v>2319</v>
      </c>
      <c r="AF211">
        <v>6689</v>
      </c>
      <c r="AG211">
        <v>1</v>
      </c>
      <c r="AH211">
        <v>11</v>
      </c>
      <c r="AI211">
        <v>3</v>
      </c>
      <c r="AJ211">
        <v>4</v>
      </c>
      <c r="AK211">
        <v>80</v>
      </c>
      <c r="AL211">
        <v>1</v>
      </c>
      <c r="AM211">
        <v>1</v>
      </c>
      <c r="AN211">
        <v>3</v>
      </c>
      <c r="AO211">
        <v>1</v>
      </c>
      <c r="AP211">
        <v>0</v>
      </c>
      <c r="AQ211">
        <v>0</v>
      </c>
      <c r="AR211">
        <v>0</v>
      </c>
    </row>
    <row r="212" spans="1:44" x14ac:dyDescent="0.3">
      <c r="A212" t="s">
        <v>56</v>
      </c>
      <c r="B212" t="s">
        <v>45</v>
      </c>
      <c r="C212" t="s">
        <v>69</v>
      </c>
      <c r="D212" t="s">
        <v>59</v>
      </c>
      <c r="E212" t="s">
        <v>48</v>
      </c>
      <c r="F212" t="s">
        <v>49</v>
      </c>
      <c r="G212" t="s">
        <v>667</v>
      </c>
      <c r="H212">
        <v>808</v>
      </c>
      <c r="I212" t="s">
        <v>51</v>
      </c>
      <c r="J212" t="s">
        <v>52</v>
      </c>
      <c r="K212" t="s">
        <v>64</v>
      </c>
      <c r="L212" t="s">
        <v>56</v>
      </c>
      <c r="M212" t="s">
        <v>54</v>
      </c>
      <c r="N212">
        <v>1</v>
      </c>
      <c r="O212">
        <v>-2</v>
      </c>
      <c r="P212">
        <v>0</v>
      </c>
      <c r="Q212">
        <v>34</v>
      </c>
      <c r="R212">
        <v>0</v>
      </c>
      <c r="T212">
        <v>0</v>
      </c>
      <c r="U212">
        <v>1</v>
      </c>
      <c r="V212">
        <v>1111</v>
      </c>
      <c r="W212">
        <v>8</v>
      </c>
      <c r="X212" t="s">
        <v>55</v>
      </c>
      <c r="Y212">
        <v>1</v>
      </c>
      <c r="Z212">
        <v>3</v>
      </c>
      <c r="AA212">
        <v>93</v>
      </c>
      <c r="AB212">
        <v>3</v>
      </c>
      <c r="AC212">
        <v>2</v>
      </c>
      <c r="AD212">
        <v>1</v>
      </c>
      <c r="AE212">
        <v>6500</v>
      </c>
      <c r="AF212">
        <v>13305</v>
      </c>
      <c r="AG212">
        <v>5</v>
      </c>
      <c r="AH212">
        <v>17</v>
      </c>
      <c r="AI212">
        <v>3</v>
      </c>
      <c r="AJ212">
        <v>2</v>
      </c>
      <c r="AK212">
        <v>80</v>
      </c>
      <c r="AL212">
        <v>1</v>
      </c>
      <c r="AM212">
        <v>6</v>
      </c>
      <c r="AN212">
        <v>3</v>
      </c>
      <c r="AO212">
        <v>3</v>
      </c>
      <c r="AP212">
        <v>2</v>
      </c>
      <c r="AQ212">
        <v>1</v>
      </c>
      <c r="AR212">
        <v>2</v>
      </c>
    </row>
    <row r="213" spans="1:44" x14ac:dyDescent="0.3">
      <c r="A213" t="s">
        <v>56</v>
      </c>
      <c r="B213" t="s">
        <v>57</v>
      </c>
      <c r="C213" t="s">
        <v>46</v>
      </c>
      <c r="D213" t="s">
        <v>59</v>
      </c>
      <c r="E213" t="s">
        <v>60</v>
      </c>
      <c r="F213" t="s">
        <v>72</v>
      </c>
      <c r="G213" t="s">
        <v>666</v>
      </c>
      <c r="H213">
        <v>807</v>
      </c>
      <c r="I213" t="s">
        <v>51</v>
      </c>
      <c r="J213" t="s">
        <v>83</v>
      </c>
      <c r="K213" t="s">
        <v>64</v>
      </c>
      <c r="L213" t="s">
        <v>56</v>
      </c>
      <c r="M213" t="s">
        <v>54</v>
      </c>
      <c r="N213">
        <v>2</v>
      </c>
      <c r="O213">
        <v>-2</v>
      </c>
      <c r="P213">
        <v>0</v>
      </c>
      <c r="Q213">
        <v>40</v>
      </c>
      <c r="R213">
        <v>0</v>
      </c>
      <c r="T213">
        <v>0</v>
      </c>
      <c r="U213">
        <v>1</v>
      </c>
      <c r="V213">
        <v>791</v>
      </c>
      <c r="W213">
        <v>2</v>
      </c>
      <c r="X213" t="s">
        <v>55</v>
      </c>
      <c r="Y213">
        <v>1</v>
      </c>
      <c r="Z213">
        <v>3</v>
      </c>
      <c r="AA213">
        <v>38</v>
      </c>
      <c r="AB213">
        <v>4</v>
      </c>
      <c r="AC213">
        <v>2</v>
      </c>
      <c r="AD213">
        <v>3</v>
      </c>
      <c r="AE213">
        <v>4244</v>
      </c>
      <c r="AF213">
        <v>9931</v>
      </c>
      <c r="AG213">
        <v>1</v>
      </c>
      <c r="AH213">
        <v>24</v>
      </c>
      <c r="AI213">
        <v>4</v>
      </c>
      <c r="AJ213">
        <v>4</v>
      </c>
      <c r="AK213">
        <v>80</v>
      </c>
      <c r="AL213">
        <v>1</v>
      </c>
      <c r="AM213">
        <v>8</v>
      </c>
      <c r="AN213">
        <v>3</v>
      </c>
      <c r="AO213">
        <v>8</v>
      </c>
      <c r="AP213">
        <v>7</v>
      </c>
      <c r="AQ213">
        <v>3</v>
      </c>
      <c r="AR213">
        <v>7</v>
      </c>
    </row>
    <row r="214" spans="1:44" x14ac:dyDescent="0.3">
      <c r="A214" t="s">
        <v>56</v>
      </c>
      <c r="B214" t="s">
        <v>57</v>
      </c>
      <c r="C214" t="s">
        <v>69</v>
      </c>
      <c r="D214" t="s">
        <v>59</v>
      </c>
      <c r="E214" t="s">
        <v>60</v>
      </c>
      <c r="F214" t="s">
        <v>49</v>
      </c>
      <c r="G214" t="s">
        <v>655</v>
      </c>
      <c r="H214">
        <v>792</v>
      </c>
      <c r="I214" t="s">
        <v>51</v>
      </c>
      <c r="J214" t="s">
        <v>68</v>
      </c>
      <c r="K214" t="s">
        <v>79</v>
      </c>
      <c r="L214" t="s">
        <v>56</v>
      </c>
      <c r="M214" t="s">
        <v>54</v>
      </c>
      <c r="N214">
        <v>2</v>
      </c>
      <c r="O214">
        <v>-2</v>
      </c>
      <c r="P214">
        <v>0</v>
      </c>
      <c r="Q214">
        <v>26</v>
      </c>
      <c r="R214">
        <v>0</v>
      </c>
      <c r="T214">
        <v>0</v>
      </c>
      <c r="U214">
        <v>1</v>
      </c>
      <c r="V214">
        <v>575</v>
      </c>
      <c r="W214">
        <v>1</v>
      </c>
      <c r="X214" t="s">
        <v>55</v>
      </c>
      <c r="Y214">
        <v>1</v>
      </c>
      <c r="Z214">
        <v>1</v>
      </c>
      <c r="AA214">
        <v>71</v>
      </c>
      <c r="AB214">
        <v>1</v>
      </c>
      <c r="AC214">
        <v>1</v>
      </c>
      <c r="AD214">
        <v>1</v>
      </c>
      <c r="AE214">
        <v>4364</v>
      </c>
      <c r="AF214">
        <v>5288</v>
      </c>
      <c r="AG214">
        <v>3</v>
      </c>
      <c r="AH214">
        <v>14</v>
      </c>
      <c r="AI214">
        <v>3</v>
      </c>
      <c r="AJ214">
        <v>1</v>
      </c>
      <c r="AK214">
        <v>80</v>
      </c>
      <c r="AL214">
        <v>1</v>
      </c>
      <c r="AM214">
        <v>5</v>
      </c>
      <c r="AN214">
        <v>3</v>
      </c>
      <c r="AO214">
        <v>2</v>
      </c>
      <c r="AP214">
        <v>2</v>
      </c>
      <c r="AQ214">
        <v>2</v>
      </c>
      <c r="AR214">
        <v>0</v>
      </c>
    </row>
    <row r="215" spans="1:44" x14ac:dyDescent="0.3">
      <c r="A215" t="s">
        <v>44</v>
      </c>
      <c r="B215" t="s">
        <v>57</v>
      </c>
      <c r="C215" t="s">
        <v>58</v>
      </c>
      <c r="D215" t="s">
        <v>47</v>
      </c>
      <c r="E215" t="s">
        <v>48</v>
      </c>
      <c r="F215" t="s">
        <v>49</v>
      </c>
      <c r="G215" t="s">
        <v>650</v>
      </c>
      <c r="H215">
        <v>785</v>
      </c>
      <c r="I215" t="s">
        <v>51</v>
      </c>
      <c r="J215" t="s">
        <v>52</v>
      </c>
      <c r="K215" t="s">
        <v>53</v>
      </c>
      <c r="L215" t="s">
        <v>44</v>
      </c>
      <c r="M215" t="s">
        <v>54</v>
      </c>
      <c r="N215">
        <v>2</v>
      </c>
      <c r="O215">
        <v>-2</v>
      </c>
      <c r="P215">
        <v>0</v>
      </c>
      <c r="Q215">
        <v>47</v>
      </c>
      <c r="R215">
        <v>1</v>
      </c>
      <c r="S215">
        <v>1</v>
      </c>
      <c r="T215">
        <v>1</v>
      </c>
      <c r="U215">
        <v>0</v>
      </c>
      <c r="V215">
        <v>719</v>
      </c>
      <c r="W215">
        <v>27</v>
      </c>
      <c r="X215" t="s">
        <v>55</v>
      </c>
      <c r="Y215">
        <v>1</v>
      </c>
      <c r="Z215">
        <v>2</v>
      </c>
      <c r="AA215">
        <v>77</v>
      </c>
      <c r="AB215">
        <v>4</v>
      </c>
      <c r="AC215">
        <v>2</v>
      </c>
      <c r="AD215">
        <v>1</v>
      </c>
      <c r="AE215">
        <v>6397</v>
      </c>
      <c r="AF215">
        <v>10339</v>
      </c>
      <c r="AG215">
        <v>4</v>
      </c>
      <c r="AH215">
        <v>12</v>
      </c>
      <c r="AI215">
        <v>3</v>
      </c>
      <c r="AJ215">
        <v>4</v>
      </c>
      <c r="AK215">
        <v>80</v>
      </c>
      <c r="AL215">
        <v>0</v>
      </c>
      <c r="AM215">
        <v>8</v>
      </c>
      <c r="AN215">
        <v>3</v>
      </c>
      <c r="AO215">
        <v>5</v>
      </c>
      <c r="AP215">
        <v>4</v>
      </c>
      <c r="AQ215">
        <v>1</v>
      </c>
      <c r="AR215">
        <v>3</v>
      </c>
    </row>
    <row r="216" spans="1:44" x14ac:dyDescent="0.3">
      <c r="A216" t="s">
        <v>56</v>
      </c>
      <c r="B216" t="s">
        <v>45</v>
      </c>
      <c r="C216" t="s">
        <v>58</v>
      </c>
      <c r="D216" t="s">
        <v>59</v>
      </c>
      <c r="E216" t="s">
        <v>48</v>
      </c>
      <c r="F216" t="s">
        <v>113</v>
      </c>
      <c r="G216" t="s">
        <v>648</v>
      </c>
      <c r="H216">
        <v>783</v>
      </c>
      <c r="I216" t="s">
        <v>62</v>
      </c>
      <c r="J216" t="s">
        <v>99</v>
      </c>
      <c r="K216" t="s">
        <v>53</v>
      </c>
      <c r="L216" t="s">
        <v>56</v>
      </c>
      <c r="M216" t="s">
        <v>54</v>
      </c>
      <c r="N216">
        <v>3</v>
      </c>
      <c r="O216">
        <v>-2</v>
      </c>
      <c r="P216">
        <v>0</v>
      </c>
      <c r="Q216">
        <v>45</v>
      </c>
      <c r="R216">
        <v>0</v>
      </c>
      <c r="T216">
        <v>0</v>
      </c>
      <c r="U216">
        <v>1</v>
      </c>
      <c r="V216">
        <v>954</v>
      </c>
      <c r="W216">
        <v>2</v>
      </c>
      <c r="X216" t="s">
        <v>55</v>
      </c>
      <c r="Y216">
        <v>1</v>
      </c>
      <c r="Z216">
        <v>4</v>
      </c>
      <c r="AA216">
        <v>46</v>
      </c>
      <c r="AB216">
        <v>1</v>
      </c>
      <c r="AC216">
        <v>2</v>
      </c>
      <c r="AD216">
        <v>4</v>
      </c>
      <c r="AE216">
        <v>6632</v>
      </c>
      <c r="AF216">
        <v>12388</v>
      </c>
      <c r="AG216">
        <v>0</v>
      </c>
      <c r="AH216">
        <v>13</v>
      </c>
      <c r="AI216">
        <v>3</v>
      </c>
      <c r="AJ216">
        <v>1</v>
      </c>
      <c r="AK216">
        <v>80</v>
      </c>
      <c r="AL216">
        <v>0</v>
      </c>
      <c r="AM216">
        <v>9</v>
      </c>
      <c r="AN216">
        <v>3</v>
      </c>
      <c r="AO216">
        <v>8</v>
      </c>
      <c r="AP216">
        <v>7</v>
      </c>
      <c r="AQ216">
        <v>3</v>
      </c>
      <c r="AR216">
        <v>1</v>
      </c>
    </row>
    <row r="217" spans="1:44" x14ac:dyDescent="0.3">
      <c r="A217" t="s">
        <v>56</v>
      </c>
      <c r="B217" t="s">
        <v>45</v>
      </c>
      <c r="C217" t="s">
        <v>69</v>
      </c>
      <c r="D217" t="s">
        <v>59</v>
      </c>
      <c r="E217" t="s">
        <v>60</v>
      </c>
      <c r="F217" t="s">
        <v>72</v>
      </c>
      <c r="G217" t="s">
        <v>633</v>
      </c>
      <c r="H217">
        <v>757</v>
      </c>
      <c r="I217" t="s">
        <v>51</v>
      </c>
      <c r="J217" t="s">
        <v>83</v>
      </c>
      <c r="K217" t="s">
        <v>53</v>
      </c>
      <c r="L217" t="s">
        <v>56</v>
      </c>
      <c r="M217" t="s">
        <v>54</v>
      </c>
      <c r="N217">
        <v>2</v>
      </c>
      <c r="O217">
        <v>-2</v>
      </c>
      <c r="P217">
        <v>0</v>
      </c>
      <c r="Q217">
        <v>34</v>
      </c>
      <c r="R217">
        <v>0</v>
      </c>
      <c r="T217">
        <v>0</v>
      </c>
      <c r="U217">
        <v>1</v>
      </c>
      <c r="V217">
        <v>970</v>
      </c>
      <c r="W217">
        <v>8</v>
      </c>
      <c r="X217" t="s">
        <v>55</v>
      </c>
      <c r="Y217">
        <v>1</v>
      </c>
      <c r="Z217">
        <v>2</v>
      </c>
      <c r="AA217">
        <v>96</v>
      </c>
      <c r="AB217">
        <v>3</v>
      </c>
      <c r="AC217">
        <v>2</v>
      </c>
      <c r="AD217">
        <v>3</v>
      </c>
      <c r="AE217">
        <v>6142</v>
      </c>
      <c r="AF217">
        <v>7360</v>
      </c>
      <c r="AG217">
        <v>3</v>
      </c>
      <c r="AH217">
        <v>11</v>
      </c>
      <c r="AI217">
        <v>3</v>
      </c>
      <c r="AJ217">
        <v>4</v>
      </c>
      <c r="AK217">
        <v>80</v>
      </c>
      <c r="AL217">
        <v>0</v>
      </c>
      <c r="AM217">
        <v>10</v>
      </c>
      <c r="AN217">
        <v>3</v>
      </c>
      <c r="AO217">
        <v>5</v>
      </c>
      <c r="AP217">
        <v>1</v>
      </c>
      <c r="AQ217">
        <v>4</v>
      </c>
      <c r="AR217">
        <v>3</v>
      </c>
    </row>
    <row r="218" spans="1:44" x14ac:dyDescent="0.3">
      <c r="A218" t="s">
        <v>44</v>
      </c>
      <c r="B218" t="s">
        <v>45</v>
      </c>
      <c r="C218" t="s">
        <v>69</v>
      </c>
      <c r="D218" t="s">
        <v>47</v>
      </c>
      <c r="E218" t="s">
        <v>60</v>
      </c>
      <c r="F218" t="s">
        <v>49</v>
      </c>
      <c r="G218" t="s">
        <v>624</v>
      </c>
      <c r="H218">
        <v>741</v>
      </c>
      <c r="I218" t="s">
        <v>51</v>
      </c>
      <c r="J218" t="s">
        <v>63</v>
      </c>
      <c r="K218" t="s">
        <v>53</v>
      </c>
      <c r="L218" t="s">
        <v>44</v>
      </c>
      <c r="M218" t="s">
        <v>54</v>
      </c>
      <c r="N218">
        <v>4</v>
      </c>
      <c r="O218">
        <v>-2</v>
      </c>
      <c r="P218">
        <v>0</v>
      </c>
      <c r="Q218">
        <v>28</v>
      </c>
      <c r="R218">
        <v>1</v>
      </c>
      <c r="S218">
        <v>1</v>
      </c>
      <c r="T218">
        <v>1</v>
      </c>
      <c r="U218">
        <v>0</v>
      </c>
      <c r="V218">
        <v>654</v>
      </c>
      <c r="W218">
        <v>1</v>
      </c>
      <c r="X218" t="s">
        <v>55</v>
      </c>
      <c r="Y218">
        <v>1</v>
      </c>
      <c r="Z218">
        <v>1</v>
      </c>
      <c r="AA218">
        <v>67</v>
      </c>
      <c r="AB218">
        <v>1</v>
      </c>
      <c r="AC218">
        <v>1</v>
      </c>
      <c r="AD218">
        <v>3</v>
      </c>
      <c r="AE218">
        <v>2216</v>
      </c>
      <c r="AF218">
        <v>3872</v>
      </c>
      <c r="AG218">
        <v>7</v>
      </c>
      <c r="AH218">
        <v>13</v>
      </c>
      <c r="AI218">
        <v>3</v>
      </c>
      <c r="AJ218">
        <v>4</v>
      </c>
      <c r="AK218">
        <v>80</v>
      </c>
      <c r="AL218">
        <v>0</v>
      </c>
      <c r="AM218">
        <v>10</v>
      </c>
      <c r="AN218">
        <v>3</v>
      </c>
      <c r="AO218">
        <v>7</v>
      </c>
      <c r="AP218">
        <v>7</v>
      </c>
      <c r="AQ218">
        <v>3</v>
      </c>
      <c r="AR218">
        <v>7</v>
      </c>
    </row>
    <row r="219" spans="1:44" x14ac:dyDescent="0.3">
      <c r="A219" t="s">
        <v>56</v>
      </c>
      <c r="B219" t="s">
        <v>57</v>
      </c>
      <c r="C219" t="s">
        <v>69</v>
      </c>
      <c r="D219" t="s">
        <v>59</v>
      </c>
      <c r="E219" t="s">
        <v>60</v>
      </c>
      <c r="F219" t="s">
        <v>49</v>
      </c>
      <c r="G219" t="s">
        <v>621</v>
      </c>
      <c r="H219">
        <v>733</v>
      </c>
      <c r="I219" t="s">
        <v>62</v>
      </c>
      <c r="J219" t="s">
        <v>81</v>
      </c>
      <c r="K219" t="s">
        <v>79</v>
      </c>
      <c r="L219" t="s">
        <v>56</v>
      </c>
      <c r="M219" t="s">
        <v>54</v>
      </c>
      <c r="N219">
        <v>4</v>
      </c>
      <c r="O219">
        <v>-2</v>
      </c>
      <c r="P219">
        <v>0</v>
      </c>
      <c r="Q219">
        <v>27</v>
      </c>
      <c r="R219">
        <v>0</v>
      </c>
      <c r="T219">
        <v>0</v>
      </c>
      <c r="U219">
        <v>1</v>
      </c>
      <c r="V219">
        <v>294</v>
      </c>
      <c r="W219">
        <v>10</v>
      </c>
      <c r="X219" t="s">
        <v>55</v>
      </c>
      <c r="Y219">
        <v>1</v>
      </c>
      <c r="Z219">
        <v>4</v>
      </c>
      <c r="AA219">
        <v>32</v>
      </c>
      <c r="AB219">
        <v>3</v>
      </c>
      <c r="AC219">
        <v>3</v>
      </c>
      <c r="AD219">
        <v>3</v>
      </c>
      <c r="AE219">
        <v>8793</v>
      </c>
      <c r="AF219">
        <v>4809</v>
      </c>
      <c r="AG219">
        <v>1</v>
      </c>
      <c r="AH219">
        <v>21</v>
      </c>
      <c r="AI219">
        <v>4</v>
      </c>
      <c r="AJ219">
        <v>3</v>
      </c>
      <c r="AK219">
        <v>80</v>
      </c>
      <c r="AL219">
        <v>2</v>
      </c>
      <c r="AM219">
        <v>9</v>
      </c>
      <c r="AN219">
        <v>2</v>
      </c>
      <c r="AO219">
        <v>9</v>
      </c>
      <c r="AP219">
        <v>7</v>
      </c>
      <c r="AQ219">
        <v>1</v>
      </c>
      <c r="AR219">
        <v>7</v>
      </c>
    </row>
    <row r="220" spans="1:44" x14ac:dyDescent="0.3">
      <c r="A220" t="s">
        <v>56</v>
      </c>
      <c r="B220" t="s">
        <v>45</v>
      </c>
      <c r="C220" t="s">
        <v>69</v>
      </c>
      <c r="D220" t="s">
        <v>59</v>
      </c>
      <c r="E220" t="s">
        <v>60</v>
      </c>
      <c r="F220" t="s">
        <v>49</v>
      </c>
      <c r="G220" t="s">
        <v>615</v>
      </c>
      <c r="H220">
        <v>727</v>
      </c>
      <c r="I220" t="s">
        <v>51</v>
      </c>
      <c r="J220" t="s">
        <v>101</v>
      </c>
      <c r="K220" t="s">
        <v>53</v>
      </c>
      <c r="L220" t="s">
        <v>56</v>
      </c>
      <c r="M220" t="s">
        <v>54</v>
      </c>
      <c r="N220">
        <v>6</v>
      </c>
      <c r="O220">
        <v>-2</v>
      </c>
      <c r="P220">
        <v>0</v>
      </c>
      <c r="Q220">
        <v>32</v>
      </c>
      <c r="R220">
        <v>0</v>
      </c>
      <c r="T220">
        <v>0</v>
      </c>
      <c r="U220">
        <v>1</v>
      </c>
      <c r="V220">
        <v>1018</v>
      </c>
      <c r="W220">
        <v>3</v>
      </c>
      <c r="X220" t="s">
        <v>55</v>
      </c>
      <c r="Y220">
        <v>1</v>
      </c>
      <c r="Z220">
        <v>3</v>
      </c>
      <c r="AA220">
        <v>39</v>
      </c>
      <c r="AB220">
        <v>3</v>
      </c>
      <c r="AC220">
        <v>3</v>
      </c>
      <c r="AD220">
        <v>4</v>
      </c>
      <c r="AE220">
        <v>11159</v>
      </c>
      <c r="AF220">
        <v>19373</v>
      </c>
      <c r="AG220">
        <v>3</v>
      </c>
      <c r="AH220">
        <v>15</v>
      </c>
      <c r="AI220">
        <v>3</v>
      </c>
      <c r="AJ220">
        <v>4</v>
      </c>
      <c r="AK220">
        <v>80</v>
      </c>
      <c r="AL220">
        <v>0</v>
      </c>
      <c r="AM220">
        <v>10</v>
      </c>
      <c r="AN220">
        <v>3</v>
      </c>
      <c r="AO220">
        <v>7</v>
      </c>
      <c r="AP220">
        <v>7</v>
      </c>
      <c r="AQ220">
        <v>7</v>
      </c>
      <c r="AR220">
        <v>7</v>
      </c>
    </row>
    <row r="221" spans="1:44" x14ac:dyDescent="0.3">
      <c r="A221" t="s">
        <v>56</v>
      </c>
      <c r="B221" t="s">
        <v>45</v>
      </c>
      <c r="C221" t="s">
        <v>69</v>
      </c>
      <c r="D221" t="s">
        <v>59</v>
      </c>
      <c r="E221" t="s">
        <v>60</v>
      </c>
      <c r="F221" t="s">
        <v>49</v>
      </c>
      <c r="G221" t="s">
        <v>614</v>
      </c>
      <c r="H221">
        <v>725</v>
      </c>
      <c r="I221" t="s">
        <v>51</v>
      </c>
      <c r="J221" t="s">
        <v>81</v>
      </c>
      <c r="K221" t="s">
        <v>64</v>
      </c>
      <c r="L221" t="s">
        <v>56</v>
      </c>
      <c r="M221" t="s">
        <v>54</v>
      </c>
      <c r="N221">
        <v>3</v>
      </c>
      <c r="O221">
        <v>-2</v>
      </c>
      <c r="P221">
        <v>0</v>
      </c>
      <c r="Q221">
        <v>27</v>
      </c>
      <c r="R221">
        <v>0</v>
      </c>
      <c r="T221">
        <v>0</v>
      </c>
      <c r="U221">
        <v>1</v>
      </c>
      <c r="V221">
        <v>608</v>
      </c>
      <c r="W221">
        <v>1</v>
      </c>
      <c r="X221" t="s">
        <v>55</v>
      </c>
      <c r="Y221">
        <v>1</v>
      </c>
      <c r="Z221">
        <v>3</v>
      </c>
      <c r="AA221">
        <v>68</v>
      </c>
      <c r="AB221">
        <v>3</v>
      </c>
      <c r="AC221">
        <v>3</v>
      </c>
      <c r="AD221">
        <v>3</v>
      </c>
      <c r="AE221">
        <v>7412</v>
      </c>
      <c r="AF221">
        <v>6009</v>
      </c>
      <c r="AG221">
        <v>1</v>
      </c>
      <c r="AH221">
        <v>11</v>
      </c>
      <c r="AI221">
        <v>3</v>
      </c>
      <c r="AJ221">
        <v>4</v>
      </c>
      <c r="AK221">
        <v>80</v>
      </c>
      <c r="AL221">
        <v>0</v>
      </c>
      <c r="AM221">
        <v>9</v>
      </c>
      <c r="AN221">
        <v>3</v>
      </c>
      <c r="AO221">
        <v>9</v>
      </c>
      <c r="AP221">
        <v>7</v>
      </c>
      <c r="AQ221">
        <v>0</v>
      </c>
      <c r="AR221">
        <v>7</v>
      </c>
    </row>
    <row r="222" spans="1:44" x14ac:dyDescent="0.3">
      <c r="A222" t="s">
        <v>44</v>
      </c>
      <c r="B222" t="s">
        <v>57</v>
      </c>
      <c r="C222" t="s">
        <v>58</v>
      </c>
      <c r="D222" t="s">
        <v>47</v>
      </c>
      <c r="E222" t="s">
        <v>48</v>
      </c>
      <c r="F222" t="s">
        <v>113</v>
      </c>
      <c r="G222" t="s">
        <v>612</v>
      </c>
      <c r="H222">
        <v>723</v>
      </c>
      <c r="I222" t="s">
        <v>62</v>
      </c>
      <c r="J222" t="s">
        <v>52</v>
      </c>
      <c r="K222" t="s">
        <v>64</v>
      </c>
      <c r="L222" t="s">
        <v>44</v>
      </c>
      <c r="M222" t="s">
        <v>54</v>
      </c>
      <c r="N222">
        <v>4</v>
      </c>
      <c r="O222">
        <v>-2</v>
      </c>
      <c r="P222">
        <v>0</v>
      </c>
      <c r="Q222">
        <v>50</v>
      </c>
      <c r="R222">
        <v>1</v>
      </c>
      <c r="S222">
        <v>1</v>
      </c>
      <c r="T222">
        <v>1</v>
      </c>
      <c r="U222">
        <v>0</v>
      </c>
      <c r="V222">
        <v>562</v>
      </c>
      <c r="W222">
        <v>8</v>
      </c>
      <c r="X222" t="s">
        <v>55</v>
      </c>
      <c r="Y222">
        <v>1</v>
      </c>
      <c r="Z222">
        <v>4</v>
      </c>
      <c r="AA222">
        <v>50</v>
      </c>
      <c r="AB222">
        <v>3</v>
      </c>
      <c r="AC222">
        <v>2</v>
      </c>
      <c r="AD222">
        <v>4</v>
      </c>
      <c r="AE222">
        <v>6796</v>
      </c>
      <c r="AF222">
        <v>23452</v>
      </c>
      <c r="AG222">
        <v>3</v>
      </c>
      <c r="AH222">
        <v>14</v>
      </c>
      <c r="AI222">
        <v>3</v>
      </c>
      <c r="AJ222">
        <v>1</v>
      </c>
      <c r="AK222">
        <v>80</v>
      </c>
      <c r="AL222">
        <v>1</v>
      </c>
      <c r="AM222">
        <v>18</v>
      </c>
      <c r="AN222">
        <v>3</v>
      </c>
      <c r="AO222">
        <v>4</v>
      </c>
      <c r="AP222">
        <v>3</v>
      </c>
      <c r="AQ222">
        <v>1</v>
      </c>
      <c r="AR222">
        <v>3</v>
      </c>
    </row>
    <row r="223" spans="1:44" x14ac:dyDescent="0.3">
      <c r="A223" t="s">
        <v>44</v>
      </c>
      <c r="B223" t="s">
        <v>45</v>
      </c>
      <c r="C223" t="s">
        <v>92</v>
      </c>
      <c r="D223" t="s">
        <v>47</v>
      </c>
      <c r="E223" t="s">
        <v>48</v>
      </c>
      <c r="F223" t="s">
        <v>49</v>
      </c>
      <c r="G223" t="s">
        <v>609</v>
      </c>
      <c r="H223">
        <v>720</v>
      </c>
      <c r="I223" t="s">
        <v>51</v>
      </c>
      <c r="J223" t="s">
        <v>52</v>
      </c>
      <c r="K223" t="s">
        <v>53</v>
      </c>
      <c r="L223" t="s">
        <v>56</v>
      </c>
      <c r="M223" t="s">
        <v>54</v>
      </c>
      <c r="N223">
        <v>3</v>
      </c>
      <c r="O223">
        <v>-2</v>
      </c>
      <c r="P223">
        <v>0</v>
      </c>
      <c r="Q223">
        <v>24</v>
      </c>
      <c r="R223">
        <v>1</v>
      </c>
      <c r="S223">
        <v>1</v>
      </c>
      <c r="T223">
        <v>1</v>
      </c>
      <c r="U223">
        <v>0</v>
      </c>
      <c r="V223">
        <v>693</v>
      </c>
      <c r="W223">
        <v>3</v>
      </c>
      <c r="X223" t="s">
        <v>55</v>
      </c>
      <c r="Y223">
        <v>1</v>
      </c>
      <c r="Z223">
        <v>1</v>
      </c>
      <c r="AA223">
        <v>65</v>
      </c>
      <c r="AB223">
        <v>3</v>
      </c>
      <c r="AC223">
        <v>2</v>
      </c>
      <c r="AD223">
        <v>3</v>
      </c>
      <c r="AE223">
        <v>4577</v>
      </c>
      <c r="AF223">
        <v>24785</v>
      </c>
      <c r="AG223">
        <v>9</v>
      </c>
      <c r="AH223">
        <v>14</v>
      </c>
      <c r="AI223">
        <v>3</v>
      </c>
      <c r="AJ223">
        <v>1</v>
      </c>
      <c r="AK223">
        <v>80</v>
      </c>
      <c r="AL223">
        <v>0</v>
      </c>
      <c r="AM223">
        <v>4</v>
      </c>
      <c r="AN223">
        <v>3</v>
      </c>
      <c r="AO223">
        <v>2</v>
      </c>
      <c r="AP223">
        <v>2</v>
      </c>
      <c r="AQ223">
        <v>2</v>
      </c>
      <c r="AR223">
        <v>0</v>
      </c>
    </row>
    <row r="224" spans="1:44" x14ac:dyDescent="0.3">
      <c r="A224" t="s">
        <v>56</v>
      </c>
      <c r="B224" t="s">
        <v>45</v>
      </c>
      <c r="C224" t="s">
        <v>46</v>
      </c>
      <c r="D224" t="s">
        <v>59</v>
      </c>
      <c r="E224" t="s">
        <v>60</v>
      </c>
      <c r="F224" t="s">
        <v>49</v>
      </c>
      <c r="G224" t="s">
        <v>304</v>
      </c>
      <c r="H224">
        <v>304</v>
      </c>
      <c r="I224" t="s">
        <v>62</v>
      </c>
      <c r="J224" t="s">
        <v>68</v>
      </c>
      <c r="K224" t="s">
        <v>53</v>
      </c>
      <c r="L224" t="s">
        <v>56</v>
      </c>
      <c r="M224" t="s">
        <v>54</v>
      </c>
      <c r="N224">
        <v>3</v>
      </c>
      <c r="O224">
        <v>-2</v>
      </c>
      <c r="P224">
        <v>0</v>
      </c>
      <c r="Q224">
        <v>36</v>
      </c>
      <c r="R224">
        <v>0</v>
      </c>
      <c r="T224">
        <v>0</v>
      </c>
      <c r="U224">
        <v>1</v>
      </c>
      <c r="V224">
        <v>1396</v>
      </c>
      <c r="W224">
        <v>5</v>
      </c>
      <c r="X224" t="s">
        <v>55</v>
      </c>
      <c r="Y224">
        <v>1</v>
      </c>
      <c r="Z224">
        <v>4</v>
      </c>
      <c r="AA224">
        <v>62</v>
      </c>
      <c r="AB224">
        <v>3</v>
      </c>
      <c r="AC224">
        <v>2</v>
      </c>
      <c r="AD224">
        <v>2</v>
      </c>
      <c r="AE224">
        <v>5914</v>
      </c>
      <c r="AF224">
        <v>9945</v>
      </c>
      <c r="AG224">
        <v>8</v>
      </c>
      <c r="AH224">
        <v>16</v>
      </c>
      <c r="AI224">
        <v>3</v>
      </c>
      <c r="AJ224">
        <v>4</v>
      </c>
      <c r="AK224">
        <v>80</v>
      </c>
      <c r="AL224">
        <v>0</v>
      </c>
      <c r="AM224">
        <v>16</v>
      </c>
      <c r="AN224">
        <v>4</v>
      </c>
      <c r="AO224">
        <v>13</v>
      </c>
      <c r="AP224">
        <v>11</v>
      </c>
      <c r="AQ224">
        <v>3</v>
      </c>
      <c r="AR224">
        <v>7</v>
      </c>
    </row>
    <row r="225" spans="1:44" x14ac:dyDescent="0.3">
      <c r="A225" t="s">
        <v>56</v>
      </c>
      <c r="B225" t="s">
        <v>45</v>
      </c>
      <c r="C225" t="s">
        <v>46</v>
      </c>
      <c r="D225" t="s">
        <v>59</v>
      </c>
      <c r="E225" t="s">
        <v>60</v>
      </c>
      <c r="F225" t="s">
        <v>49</v>
      </c>
      <c r="G225" t="s">
        <v>606</v>
      </c>
      <c r="H225">
        <v>715</v>
      </c>
      <c r="I225" t="s">
        <v>62</v>
      </c>
      <c r="J225" t="s">
        <v>63</v>
      </c>
      <c r="K225" t="s">
        <v>53</v>
      </c>
      <c r="L225" t="s">
        <v>56</v>
      </c>
      <c r="M225" t="s">
        <v>54</v>
      </c>
      <c r="N225">
        <v>2</v>
      </c>
      <c r="O225">
        <v>-2</v>
      </c>
      <c r="P225">
        <v>0</v>
      </c>
      <c r="Q225">
        <v>37</v>
      </c>
      <c r="R225">
        <v>0</v>
      </c>
      <c r="T225">
        <v>0</v>
      </c>
      <c r="U225">
        <v>1</v>
      </c>
      <c r="V225">
        <v>1225</v>
      </c>
      <c r="W225">
        <v>10</v>
      </c>
      <c r="X225" t="s">
        <v>55</v>
      </c>
      <c r="Y225">
        <v>1</v>
      </c>
      <c r="Z225">
        <v>4</v>
      </c>
      <c r="AA225">
        <v>80</v>
      </c>
      <c r="AB225">
        <v>4</v>
      </c>
      <c r="AC225">
        <v>1</v>
      </c>
      <c r="AD225">
        <v>4</v>
      </c>
      <c r="AE225">
        <v>4680</v>
      </c>
      <c r="AF225">
        <v>15232</v>
      </c>
      <c r="AG225">
        <v>3</v>
      </c>
      <c r="AH225">
        <v>17</v>
      </c>
      <c r="AI225">
        <v>3</v>
      </c>
      <c r="AJ225">
        <v>1</v>
      </c>
      <c r="AK225">
        <v>80</v>
      </c>
      <c r="AL225">
        <v>0</v>
      </c>
      <c r="AM225">
        <v>4</v>
      </c>
      <c r="AN225">
        <v>3</v>
      </c>
      <c r="AO225">
        <v>1</v>
      </c>
      <c r="AP225">
        <v>0</v>
      </c>
      <c r="AQ225">
        <v>0</v>
      </c>
      <c r="AR225">
        <v>0</v>
      </c>
    </row>
    <row r="226" spans="1:44" x14ac:dyDescent="0.3">
      <c r="A226" t="s">
        <v>56</v>
      </c>
      <c r="B226" t="s">
        <v>45</v>
      </c>
      <c r="C226" t="s">
        <v>46</v>
      </c>
      <c r="D226" t="s">
        <v>59</v>
      </c>
      <c r="E226" t="s">
        <v>60</v>
      </c>
      <c r="F226" t="s">
        <v>72</v>
      </c>
      <c r="G226" t="s">
        <v>595</v>
      </c>
      <c r="H226">
        <v>699</v>
      </c>
      <c r="I226" t="s">
        <v>62</v>
      </c>
      <c r="J226" t="s">
        <v>81</v>
      </c>
      <c r="K226" t="s">
        <v>79</v>
      </c>
      <c r="L226" t="s">
        <v>44</v>
      </c>
      <c r="M226" t="s">
        <v>54</v>
      </c>
      <c r="N226">
        <v>2</v>
      </c>
      <c r="O226">
        <v>-2</v>
      </c>
      <c r="P226">
        <v>0</v>
      </c>
      <c r="Q226">
        <v>36</v>
      </c>
      <c r="R226">
        <v>0</v>
      </c>
      <c r="T226">
        <v>0</v>
      </c>
      <c r="U226">
        <v>1</v>
      </c>
      <c r="V226">
        <v>913</v>
      </c>
      <c r="W226">
        <v>9</v>
      </c>
      <c r="X226" t="s">
        <v>55</v>
      </c>
      <c r="Y226">
        <v>1</v>
      </c>
      <c r="Z226">
        <v>2</v>
      </c>
      <c r="AA226">
        <v>48</v>
      </c>
      <c r="AB226">
        <v>2</v>
      </c>
      <c r="AC226">
        <v>2</v>
      </c>
      <c r="AD226">
        <v>3</v>
      </c>
      <c r="AE226">
        <v>8847</v>
      </c>
      <c r="AF226">
        <v>13934</v>
      </c>
      <c r="AG226">
        <v>2</v>
      </c>
      <c r="AH226">
        <v>11</v>
      </c>
      <c r="AI226">
        <v>3</v>
      </c>
      <c r="AJ226">
        <v>3</v>
      </c>
      <c r="AK226">
        <v>80</v>
      </c>
      <c r="AL226">
        <v>1</v>
      </c>
      <c r="AM226">
        <v>13</v>
      </c>
      <c r="AN226">
        <v>3</v>
      </c>
      <c r="AO226">
        <v>3</v>
      </c>
      <c r="AP226">
        <v>2</v>
      </c>
      <c r="AQ226">
        <v>0</v>
      </c>
      <c r="AR226">
        <v>2</v>
      </c>
    </row>
    <row r="227" spans="1:44" x14ac:dyDescent="0.3">
      <c r="A227" t="s">
        <v>56</v>
      </c>
      <c r="B227" t="s">
        <v>45</v>
      </c>
      <c r="C227" t="s">
        <v>69</v>
      </c>
      <c r="D227" t="s">
        <v>59</v>
      </c>
      <c r="E227" t="s">
        <v>48</v>
      </c>
      <c r="F227" t="s">
        <v>72</v>
      </c>
      <c r="G227" t="s">
        <v>591</v>
      </c>
      <c r="H227">
        <v>690</v>
      </c>
      <c r="I227" t="s">
        <v>51</v>
      </c>
      <c r="J227" t="s">
        <v>52</v>
      </c>
      <c r="K227" t="s">
        <v>64</v>
      </c>
      <c r="L227" t="s">
        <v>56</v>
      </c>
      <c r="M227" t="s">
        <v>54</v>
      </c>
      <c r="N227">
        <v>5</v>
      </c>
      <c r="O227">
        <v>-2</v>
      </c>
      <c r="P227">
        <v>0</v>
      </c>
      <c r="Q227">
        <v>29</v>
      </c>
      <c r="R227">
        <v>0</v>
      </c>
      <c r="T227">
        <v>0</v>
      </c>
      <c r="U227">
        <v>1</v>
      </c>
      <c r="V227">
        <v>1176</v>
      </c>
      <c r="W227">
        <v>3</v>
      </c>
      <c r="X227" t="s">
        <v>55</v>
      </c>
      <c r="Y227">
        <v>1</v>
      </c>
      <c r="Z227">
        <v>2</v>
      </c>
      <c r="AA227">
        <v>62</v>
      </c>
      <c r="AB227">
        <v>3</v>
      </c>
      <c r="AC227">
        <v>2</v>
      </c>
      <c r="AD227">
        <v>3</v>
      </c>
      <c r="AE227">
        <v>5561</v>
      </c>
      <c r="AF227">
        <v>3487</v>
      </c>
      <c r="AG227">
        <v>1</v>
      </c>
      <c r="AH227">
        <v>14</v>
      </c>
      <c r="AI227">
        <v>3</v>
      </c>
      <c r="AJ227">
        <v>1</v>
      </c>
      <c r="AK227">
        <v>80</v>
      </c>
      <c r="AL227">
        <v>1</v>
      </c>
      <c r="AM227">
        <v>6</v>
      </c>
      <c r="AN227">
        <v>2</v>
      </c>
      <c r="AO227">
        <v>6</v>
      </c>
      <c r="AP227">
        <v>0</v>
      </c>
      <c r="AQ227">
        <v>1</v>
      </c>
      <c r="AR227">
        <v>2</v>
      </c>
    </row>
    <row r="228" spans="1:44" x14ac:dyDescent="0.3">
      <c r="A228" t="s">
        <v>56</v>
      </c>
      <c r="B228" t="s">
        <v>45</v>
      </c>
      <c r="C228" t="s">
        <v>46</v>
      </c>
      <c r="D228" t="s">
        <v>59</v>
      </c>
      <c r="E228" t="s">
        <v>60</v>
      </c>
      <c r="F228" t="s">
        <v>66</v>
      </c>
      <c r="G228" t="s">
        <v>567</v>
      </c>
      <c r="H228">
        <v>652</v>
      </c>
      <c r="I228" t="s">
        <v>62</v>
      </c>
      <c r="J228" t="s">
        <v>68</v>
      </c>
      <c r="K228" t="s">
        <v>53</v>
      </c>
      <c r="L228" t="s">
        <v>56</v>
      </c>
      <c r="M228" t="s">
        <v>54</v>
      </c>
      <c r="N228">
        <v>3</v>
      </c>
      <c r="O228">
        <v>-2</v>
      </c>
      <c r="P228">
        <v>0</v>
      </c>
      <c r="Q228">
        <v>35</v>
      </c>
      <c r="R228">
        <v>0</v>
      </c>
      <c r="T228">
        <v>0</v>
      </c>
      <c r="U228">
        <v>1</v>
      </c>
      <c r="V228">
        <v>538</v>
      </c>
      <c r="W228">
        <v>25</v>
      </c>
      <c r="X228" t="s">
        <v>55</v>
      </c>
      <c r="Y228">
        <v>1</v>
      </c>
      <c r="Z228">
        <v>1</v>
      </c>
      <c r="AA228">
        <v>54</v>
      </c>
      <c r="AB228">
        <v>2</v>
      </c>
      <c r="AC228">
        <v>2</v>
      </c>
      <c r="AD228">
        <v>4</v>
      </c>
      <c r="AE228">
        <v>3681</v>
      </c>
      <c r="AF228">
        <v>14004</v>
      </c>
      <c r="AG228">
        <v>4</v>
      </c>
      <c r="AH228">
        <v>14</v>
      </c>
      <c r="AI228">
        <v>3</v>
      </c>
      <c r="AJ228">
        <v>4</v>
      </c>
      <c r="AK228">
        <v>80</v>
      </c>
      <c r="AL228">
        <v>0</v>
      </c>
      <c r="AM228">
        <v>9</v>
      </c>
      <c r="AN228">
        <v>3</v>
      </c>
      <c r="AO228">
        <v>3</v>
      </c>
      <c r="AP228">
        <v>2</v>
      </c>
      <c r="AQ228">
        <v>0</v>
      </c>
      <c r="AR228">
        <v>2</v>
      </c>
    </row>
    <row r="229" spans="1:44" x14ac:dyDescent="0.3">
      <c r="A229" t="s">
        <v>56</v>
      </c>
      <c r="B229" t="s">
        <v>45</v>
      </c>
      <c r="C229" t="s">
        <v>69</v>
      </c>
      <c r="D229" t="s">
        <v>59</v>
      </c>
      <c r="E229" t="s">
        <v>60</v>
      </c>
      <c r="F229" t="s">
        <v>49</v>
      </c>
      <c r="G229" t="s">
        <v>565</v>
      </c>
      <c r="H229">
        <v>649</v>
      </c>
      <c r="I229" t="s">
        <v>62</v>
      </c>
      <c r="J229" t="s">
        <v>63</v>
      </c>
      <c r="K229" t="s">
        <v>64</v>
      </c>
      <c r="L229" t="s">
        <v>44</v>
      </c>
      <c r="M229" t="s">
        <v>54</v>
      </c>
      <c r="N229">
        <v>3</v>
      </c>
      <c r="O229">
        <v>-2</v>
      </c>
      <c r="P229">
        <v>0</v>
      </c>
      <c r="Q229">
        <v>34</v>
      </c>
      <c r="R229">
        <v>0</v>
      </c>
      <c r="T229">
        <v>0</v>
      </c>
      <c r="U229">
        <v>1</v>
      </c>
      <c r="V229">
        <v>254</v>
      </c>
      <c r="W229">
        <v>1</v>
      </c>
      <c r="X229" t="s">
        <v>55</v>
      </c>
      <c r="Y229">
        <v>1</v>
      </c>
      <c r="Z229">
        <v>2</v>
      </c>
      <c r="AA229">
        <v>83</v>
      </c>
      <c r="AB229">
        <v>2</v>
      </c>
      <c r="AC229">
        <v>1</v>
      </c>
      <c r="AD229">
        <v>2</v>
      </c>
      <c r="AE229">
        <v>3622</v>
      </c>
      <c r="AF229">
        <v>22794</v>
      </c>
      <c r="AG229">
        <v>1</v>
      </c>
      <c r="AH229">
        <v>13</v>
      </c>
      <c r="AI229">
        <v>3</v>
      </c>
      <c r="AJ229">
        <v>4</v>
      </c>
      <c r="AK229">
        <v>80</v>
      </c>
      <c r="AL229">
        <v>1</v>
      </c>
      <c r="AM229">
        <v>6</v>
      </c>
      <c r="AN229">
        <v>3</v>
      </c>
      <c r="AO229">
        <v>6</v>
      </c>
      <c r="AP229">
        <v>5</v>
      </c>
      <c r="AQ229">
        <v>1</v>
      </c>
      <c r="AR229">
        <v>3</v>
      </c>
    </row>
    <row r="230" spans="1:44" x14ac:dyDescent="0.3">
      <c r="A230" t="s">
        <v>56</v>
      </c>
      <c r="B230" t="s">
        <v>45</v>
      </c>
      <c r="C230" t="s">
        <v>92</v>
      </c>
      <c r="D230" t="s">
        <v>59</v>
      </c>
      <c r="E230" t="s">
        <v>60</v>
      </c>
      <c r="F230" t="s">
        <v>66</v>
      </c>
      <c r="G230" t="s">
        <v>560</v>
      </c>
      <c r="H230">
        <v>643</v>
      </c>
      <c r="I230" t="s">
        <v>62</v>
      </c>
      <c r="J230" t="s">
        <v>68</v>
      </c>
      <c r="K230" t="s">
        <v>64</v>
      </c>
      <c r="L230" t="s">
        <v>56</v>
      </c>
      <c r="M230" t="s">
        <v>54</v>
      </c>
      <c r="N230">
        <v>2</v>
      </c>
      <c r="O230">
        <v>-2</v>
      </c>
      <c r="P230">
        <v>0</v>
      </c>
      <c r="Q230">
        <v>24</v>
      </c>
      <c r="R230">
        <v>0</v>
      </c>
      <c r="T230">
        <v>0</v>
      </c>
      <c r="U230">
        <v>1</v>
      </c>
      <c r="V230">
        <v>823</v>
      </c>
      <c r="W230">
        <v>17</v>
      </c>
      <c r="X230" t="s">
        <v>55</v>
      </c>
      <c r="Y230">
        <v>1</v>
      </c>
      <c r="Z230">
        <v>4</v>
      </c>
      <c r="AA230">
        <v>94</v>
      </c>
      <c r="AB230">
        <v>2</v>
      </c>
      <c r="AC230">
        <v>1</v>
      </c>
      <c r="AD230">
        <v>3</v>
      </c>
      <c r="AE230">
        <v>2127</v>
      </c>
      <c r="AF230">
        <v>9100</v>
      </c>
      <c r="AG230">
        <v>1</v>
      </c>
      <c r="AH230">
        <v>21</v>
      </c>
      <c r="AI230">
        <v>4</v>
      </c>
      <c r="AJ230">
        <v>4</v>
      </c>
      <c r="AK230">
        <v>80</v>
      </c>
      <c r="AL230">
        <v>1</v>
      </c>
      <c r="AM230">
        <v>1</v>
      </c>
      <c r="AN230">
        <v>3</v>
      </c>
      <c r="AO230">
        <v>1</v>
      </c>
      <c r="AP230">
        <v>0</v>
      </c>
      <c r="AQ230">
        <v>0</v>
      </c>
      <c r="AR230">
        <v>0</v>
      </c>
    </row>
    <row r="231" spans="1:44" x14ac:dyDescent="0.3">
      <c r="A231" t="s">
        <v>56</v>
      </c>
      <c r="B231" t="s">
        <v>45</v>
      </c>
      <c r="C231" t="s">
        <v>69</v>
      </c>
      <c r="D231" t="s">
        <v>59</v>
      </c>
      <c r="E231" t="s">
        <v>48</v>
      </c>
      <c r="F231" t="s">
        <v>106</v>
      </c>
      <c r="G231" t="s">
        <v>559</v>
      </c>
      <c r="H231">
        <v>641</v>
      </c>
      <c r="I231" t="s">
        <v>62</v>
      </c>
      <c r="J231" t="s">
        <v>52</v>
      </c>
      <c r="K231" t="s">
        <v>64</v>
      </c>
      <c r="L231" t="s">
        <v>56</v>
      </c>
      <c r="M231" t="s">
        <v>54</v>
      </c>
      <c r="N231">
        <v>5</v>
      </c>
      <c r="O231">
        <v>-2</v>
      </c>
      <c r="P231">
        <v>0</v>
      </c>
      <c r="Q231">
        <v>26</v>
      </c>
      <c r="R231">
        <v>0</v>
      </c>
      <c r="T231">
        <v>0</v>
      </c>
      <c r="U231">
        <v>1</v>
      </c>
      <c r="V231">
        <v>703</v>
      </c>
      <c r="W231">
        <v>28</v>
      </c>
      <c r="X231" t="s">
        <v>55</v>
      </c>
      <c r="Y231">
        <v>1</v>
      </c>
      <c r="Z231">
        <v>1</v>
      </c>
      <c r="AA231">
        <v>66</v>
      </c>
      <c r="AB231">
        <v>3</v>
      </c>
      <c r="AC231">
        <v>2</v>
      </c>
      <c r="AD231">
        <v>1</v>
      </c>
      <c r="AE231">
        <v>6272</v>
      </c>
      <c r="AF231">
        <v>7428</v>
      </c>
      <c r="AG231">
        <v>1</v>
      </c>
      <c r="AH231">
        <v>20</v>
      </c>
      <c r="AI231">
        <v>4</v>
      </c>
      <c r="AJ231">
        <v>4</v>
      </c>
      <c r="AK231">
        <v>80</v>
      </c>
      <c r="AL231">
        <v>2</v>
      </c>
      <c r="AM231">
        <v>6</v>
      </c>
      <c r="AN231">
        <v>4</v>
      </c>
      <c r="AO231">
        <v>5</v>
      </c>
      <c r="AP231">
        <v>3</v>
      </c>
      <c r="AQ231">
        <v>1</v>
      </c>
      <c r="AR231">
        <v>4</v>
      </c>
    </row>
    <row r="232" spans="1:44" x14ac:dyDescent="0.3">
      <c r="A232" t="s">
        <v>56</v>
      </c>
      <c r="B232" t="s">
        <v>45</v>
      </c>
      <c r="C232" t="s">
        <v>58</v>
      </c>
      <c r="D232" t="s">
        <v>59</v>
      </c>
      <c r="E232" t="s">
        <v>60</v>
      </c>
      <c r="F232" t="s">
        <v>113</v>
      </c>
      <c r="G232" t="s">
        <v>552</v>
      </c>
      <c r="H232">
        <v>630</v>
      </c>
      <c r="I232" t="s">
        <v>62</v>
      </c>
      <c r="J232" t="s">
        <v>63</v>
      </c>
      <c r="K232" t="s">
        <v>79</v>
      </c>
      <c r="L232" t="s">
        <v>44</v>
      </c>
      <c r="M232" t="s">
        <v>54</v>
      </c>
      <c r="N232">
        <v>3</v>
      </c>
      <c r="O232">
        <v>-2</v>
      </c>
      <c r="P232">
        <v>0</v>
      </c>
      <c r="Q232">
        <v>52</v>
      </c>
      <c r="R232">
        <v>0</v>
      </c>
      <c r="T232">
        <v>0</v>
      </c>
      <c r="U232">
        <v>1</v>
      </c>
      <c r="V232">
        <v>956</v>
      </c>
      <c r="W232">
        <v>6</v>
      </c>
      <c r="X232" t="s">
        <v>55</v>
      </c>
      <c r="Y232">
        <v>1</v>
      </c>
      <c r="Z232">
        <v>4</v>
      </c>
      <c r="AA232">
        <v>78</v>
      </c>
      <c r="AB232">
        <v>3</v>
      </c>
      <c r="AC232">
        <v>2</v>
      </c>
      <c r="AD232">
        <v>4</v>
      </c>
      <c r="AE232">
        <v>5577</v>
      </c>
      <c r="AF232">
        <v>22087</v>
      </c>
      <c r="AG232">
        <v>3</v>
      </c>
      <c r="AH232">
        <v>12</v>
      </c>
      <c r="AI232">
        <v>3</v>
      </c>
      <c r="AJ232">
        <v>2</v>
      </c>
      <c r="AK232">
        <v>80</v>
      </c>
      <c r="AL232">
        <v>2</v>
      </c>
      <c r="AM232">
        <v>18</v>
      </c>
      <c r="AN232">
        <v>3</v>
      </c>
      <c r="AO232">
        <v>10</v>
      </c>
      <c r="AP232">
        <v>9</v>
      </c>
      <c r="AQ232">
        <v>6</v>
      </c>
      <c r="AR232">
        <v>9</v>
      </c>
    </row>
    <row r="233" spans="1:44" x14ac:dyDescent="0.3">
      <c r="A233" t="s">
        <v>56</v>
      </c>
      <c r="B233" t="s">
        <v>45</v>
      </c>
      <c r="C233" t="s">
        <v>69</v>
      </c>
      <c r="D233" t="s">
        <v>59</v>
      </c>
      <c r="E233" t="s">
        <v>48</v>
      </c>
      <c r="F233" t="s">
        <v>72</v>
      </c>
      <c r="G233" t="s">
        <v>544</v>
      </c>
      <c r="H233">
        <v>618</v>
      </c>
      <c r="I233" t="s">
        <v>62</v>
      </c>
      <c r="J233" t="s">
        <v>52</v>
      </c>
      <c r="K233" t="s">
        <v>79</v>
      </c>
      <c r="L233" t="s">
        <v>56</v>
      </c>
      <c r="M233" t="s">
        <v>54</v>
      </c>
      <c r="N233">
        <v>5</v>
      </c>
      <c r="O233">
        <v>-2</v>
      </c>
      <c r="P233">
        <v>0</v>
      </c>
      <c r="Q233">
        <v>26</v>
      </c>
      <c r="R233">
        <v>0</v>
      </c>
      <c r="T233">
        <v>0</v>
      </c>
      <c r="U233">
        <v>1</v>
      </c>
      <c r="V233">
        <v>775</v>
      </c>
      <c r="W233">
        <v>29</v>
      </c>
      <c r="X233" t="s">
        <v>55</v>
      </c>
      <c r="Y233">
        <v>1</v>
      </c>
      <c r="Z233">
        <v>1</v>
      </c>
      <c r="AA233">
        <v>45</v>
      </c>
      <c r="AB233">
        <v>3</v>
      </c>
      <c r="AC233">
        <v>2</v>
      </c>
      <c r="AD233">
        <v>3</v>
      </c>
      <c r="AE233">
        <v>4306</v>
      </c>
      <c r="AF233">
        <v>4267</v>
      </c>
      <c r="AG233">
        <v>5</v>
      </c>
      <c r="AH233">
        <v>12</v>
      </c>
      <c r="AI233">
        <v>3</v>
      </c>
      <c r="AJ233">
        <v>1</v>
      </c>
      <c r="AK233">
        <v>80</v>
      </c>
      <c r="AL233">
        <v>2</v>
      </c>
      <c r="AM233">
        <v>8</v>
      </c>
      <c r="AN233">
        <v>3</v>
      </c>
      <c r="AO233">
        <v>0</v>
      </c>
      <c r="AP233">
        <v>0</v>
      </c>
      <c r="AQ233">
        <v>0</v>
      </c>
      <c r="AR233">
        <v>0</v>
      </c>
    </row>
    <row r="234" spans="1:44" x14ac:dyDescent="0.3">
      <c r="A234" t="s">
        <v>56</v>
      </c>
      <c r="B234" t="s">
        <v>91</v>
      </c>
      <c r="C234" t="s">
        <v>46</v>
      </c>
      <c r="D234" t="s">
        <v>59</v>
      </c>
      <c r="E234" t="s">
        <v>48</v>
      </c>
      <c r="F234" t="s">
        <v>49</v>
      </c>
      <c r="G234" t="s">
        <v>530</v>
      </c>
      <c r="H234">
        <v>599</v>
      </c>
      <c r="I234" t="s">
        <v>62</v>
      </c>
      <c r="J234" t="s">
        <v>52</v>
      </c>
      <c r="K234" t="s">
        <v>53</v>
      </c>
      <c r="L234" t="s">
        <v>56</v>
      </c>
      <c r="M234" t="s">
        <v>54</v>
      </c>
      <c r="N234">
        <v>3</v>
      </c>
      <c r="O234">
        <v>-2</v>
      </c>
      <c r="P234">
        <v>0</v>
      </c>
      <c r="Q234">
        <v>41</v>
      </c>
      <c r="R234">
        <v>0</v>
      </c>
      <c r="T234">
        <v>0</v>
      </c>
      <c r="U234">
        <v>1</v>
      </c>
      <c r="V234">
        <v>267</v>
      </c>
      <c r="W234">
        <v>10</v>
      </c>
      <c r="X234" t="s">
        <v>55</v>
      </c>
      <c r="Y234">
        <v>1</v>
      </c>
      <c r="Z234">
        <v>4</v>
      </c>
      <c r="AA234">
        <v>56</v>
      </c>
      <c r="AB234">
        <v>3</v>
      </c>
      <c r="AC234">
        <v>2</v>
      </c>
      <c r="AD234">
        <v>2</v>
      </c>
      <c r="AE234">
        <v>6230</v>
      </c>
      <c r="AF234">
        <v>13430</v>
      </c>
      <c r="AG234">
        <v>7</v>
      </c>
      <c r="AH234">
        <v>14</v>
      </c>
      <c r="AI234">
        <v>3</v>
      </c>
      <c r="AJ234">
        <v>4</v>
      </c>
      <c r="AK234">
        <v>80</v>
      </c>
      <c r="AL234">
        <v>0</v>
      </c>
      <c r="AM234">
        <v>16</v>
      </c>
      <c r="AN234">
        <v>3</v>
      </c>
      <c r="AO234">
        <v>14</v>
      </c>
      <c r="AP234">
        <v>3</v>
      </c>
      <c r="AQ234">
        <v>1</v>
      </c>
      <c r="AR234">
        <v>10</v>
      </c>
    </row>
    <row r="235" spans="1:44" x14ac:dyDescent="0.3">
      <c r="A235" t="s">
        <v>56</v>
      </c>
      <c r="B235" t="s">
        <v>45</v>
      </c>
      <c r="C235" t="s">
        <v>46</v>
      </c>
      <c r="D235" t="s">
        <v>59</v>
      </c>
      <c r="E235" t="s">
        <v>60</v>
      </c>
      <c r="F235" t="s">
        <v>113</v>
      </c>
      <c r="G235" t="s">
        <v>315</v>
      </c>
      <c r="H235">
        <v>319</v>
      </c>
      <c r="I235" t="s">
        <v>62</v>
      </c>
      <c r="J235" t="s">
        <v>95</v>
      </c>
      <c r="K235" t="s">
        <v>64</v>
      </c>
      <c r="L235" t="s">
        <v>56</v>
      </c>
      <c r="M235" t="s">
        <v>54</v>
      </c>
      <c r="N235">
        <v>3</v>
      </c>
      <c r="O235">
        <v>-2</v>
      </c>
      <c r="P235">
        <v>0</v>
      </c>
      <c r="Q235">
        <v>42</v>
      </c>
      <c r="R235">
        <v>0</v>
      </c>
      <c r="T235">
        <v>0</v>
      </c>
      <c r="U235">
        <v>1</v>
      </c>
      <c r="V235">
        <v>532</v>
      </c>
      <c r="W235">
        <v>4</v>
      </c>
      <c r="X235" t="s">
        <v>55</v>
      </c>
      <c r="Y235">
        <v>1</v>
      </c>
      <c r="Z235">
        <v>3</v>
      </c>
      <c r="AA235">
        <v>58</v>
      </c>
      <c r="AB235">
        <v>3</v>
      </c>
      <c r="AC235">
        <v>5</v>
      </c>
      <c r="AD235">
        <v>4</v>
      </c>
      <c r="AE235">
        <v>19232</v>
      </c>
      <c r="AF235">
        <v>4933</v>
      </c>
      <c r="AG235">
        <v>1</v>
      </c>
      <c r="AH235">
        <v>11</v>
      </c>
      <c r="AI235">
        <v>3</v>
      </c>
      <c r="AJ235">
        <v>4</v>
      </c>
      <c r="AK235">
        <v>80</v>
      </c>
      <c r="AL235">
        <v>0</v>
      </c>
      <c r="AM235">
        <v>22</v>
      </c>
      <c r="AN235">
        <v>3</v>
      </c>
      <c r="AO235">
        <v>22</v>
      </c>
      <c r="AP235">
        <v>17</v>
      </c>
      <c r="AQ235">
        <v>11</v>
      </c>
      <c r="AR235">
        <v>15</v>
      </c>
    </row>
    <row r="236" spans="1:44" x14ac:dyDescent="0.3">
      <c r="A236" t="s">
        <v>56</v>
      </c>
      <c r="B236" t="s">
        <v>45</v>
      </c>
      <c r="C236" t="s">
        <v>75</v>
      </c>
      <c r="D236" t="s">
        <v>59</v>
      </c>
      <c r="E236" t="s">
        <v>161</v>
      </c>
      <c r="F236" t="s">
        <v>72</v>
      </c>
      <c r="G236" t="s">
        <v>316</v>
      </c>
      <c r="H236">
        <v>321</v>
      </c>
      <c r="I236" t="s">
        <v>62</v>
      </c>
      <c r="J236" t="s">
        <v>163</v>
      </c>
      <c r="K236" t="s">
        <v>64</v>
      </c>
      <c r="L236" t="s">
        <v>56</v>
      </c>
      <c r="M236" t="s">
        <v>54</v>
      </c>
      <c r="N236">
        <v>2</v>
      </c>
      <c r="O236">
        <v>-2</v>
      </c>
      <c r="P236">
        <v>0</v>
      </c>
      <c r="Q236">
        <v>59</v>
      </c>
      <c r="R236">
        <v>0</v>
      </c>
      <c r="T236">
        <v>0</v>
      </c>
      <c r="U236">
        <v>1</v>
      </c>
      <c r="V236">
        <v>818</v>
      </c>
      <c r="W236">
        <v>6</v>
      </c>
      <c r="X236" t="s">
        <v>55</v>
      </c>
      <c r="Y236">
        <v>1</v>
      </c>
      <c r="Z236">
        <v>2</v>
      </c>
      <c r="AA236">
        <v>52</v>
      </c>
      <c r="AB236">
        <v>3</v>
      </c>
      <c r="AC236">
        <v>1</v>
      </c>
      <c r="AD236">
        <v>3</v>
      </c>
      <c r="AE236">
        <v>2267</v>
      </c>
      <c r="AF236">
        <v>25657</v>
      </c>
      <c r="AG236">
        <v>8</v>
      </c>
      <c r="AH236">
        <v>17</v>
      </c>
      <c r="AI236">
        <v>3</v>
      </c>
      <c r="AJ236">
        <v>4</v>
      </c>
      <c r="AK236">
        <v>80</v>
      </c>
      <c r="AL236">
        <v>0</v>
      </c>
      <c r="AM236">
        <v>7</v>
      </c>
      <c r="AN236">
        <v>2</v>
      </c>
      <c r="AO236">
        <v>2</v>
      </c>
      <c r="AP236">
        <v>2</v>
      </c>
      <c r="AQ236">
        <v>2</v>
      </c>
      <c r="AR236">
        <v>2</v>
      </c>
    </row>
    <row r="237" spans="1:44" x14ac:dyDescent="0.3">
      <c r="A237" t="s">
        <v>56</v>
      </c>
      <c r="B237" t="s">
        <v>57</v>
      </c>
      <c r="C237" t="s">
        <v>46</v>
      </c>
      <c r="D237" t="s">
        <v>59</v>
      </c>
      <c r="E237" t="s">
        <v>60</v>
      </c>
      <c r="F237" t="s">
        <v>66</v>
      </c>
      <c r="G237" t="s">
        <v>525</v>
      </c>
      <c r="H237">
        <v>591</v>
      </c>
      <c r="I237" t="s">
        <v>62</v>
      </c>
      <c r="J237" t="s">
        <v>68</v>
      </c>
      <c r="K237" t="s">
        <v>64</v>
      </c>
      <c r="L237" t="s">
        <v>56</v>
      </c>
      <c r="M237" t="s">
        <v>54</v>
      </c>
      <c r="N237">
        <v>4</v>
      </c>
      <c r="O237">
        <v>-2</v>
      </c>
      <c r="P237">
        <v>0</v>
      </c>
      <c r="Q237">
        <v>42</v>
      </c>
      <c r="R237">
        <v>0</v>
      </c>
      <c r="T237">
        <v>0</v>
      </c>
      <c r="U237">
        <v>1</v>
      </c>
      <c r="V237">
        <v>1474</v>
      </c>
      <c r="W237">
        <v>5</v>
      </c>
      <c r="X237" t="s">
        <v>55</v>
      </c>
      <c r="Y237">
        <v>1</v>
      </c>
      <c r="Z237">
        <v>2</v>
      </c>
      <c r="AA237">
        <v>97</v>
      </c>
      <c r="AB237">
        <v>3</v>
      </c>
      <c r="AC237">
        <v>1</v>
      </c>
      <c r="AD237">
        <v>3</v>
      </c>
      <c r="AE237">
        <v>2093</v>
      </c>
      <c r="AF237">
        <v>9260</v>
      </c>
      <c r="AG237">
        <v>4</v>
      </c>
      <c r="AH237">
        <v>17</v>
      </c>
      <c r="AI237">
        <v>3</v>
      </c>
      <c r="AJ237">
        <v>4</v>
      </c>
      <c r="AK237">
        <v>80</v>
      </c>
      <c r="AL237">
        <v>1</v>
      </c>
      <c r="AM237">
        <v>8</v>
      </c>
      <c r="AN237">
        <v>3</v>
      </c>
      <c r="AO237">
        <v>2</v>
      </c>
      <c r="AP237">
        <v>2</v>
      </c>
      <c r="AQ237">
        <v>2</v>
      </c>
      <c r="AR237">
        <v>0</v>
      </c>
    </row>
    <row r="238" spans="1:44" x14ac:dyDescent="0.3">
      <c r="A238" t="s">
        <v>56</v>
      </c>
      <c r="B238" t="s">
        <v>45</v>
      </c>
      <c r="C238" t="s">
        <v>58</v>
      </c>
      <c r="D238" t="s">
        <v>59</v>
      </c>
      <c r="E238" t="s">
        <v>60</v>
      </c>
      <c r="F238" t="s">
        <v>72</v>
      </c>
      <c r="G238" t="s">
        <v>512</v>
      </c>
      <c r="H238">
        <v>574</v>
      </c>
      <c r="I238" t="s">
        <v>51</v>
      </c>
      <c r="J238" t="s">
        <v>81</v>
      </c>
      <c r="K238" t="s">
        <v>79</v>
      </c>
      <c r="L238" t="s">
        <v>56</v>
      </c>
      <c r="M238" t="s">
        <v>54</v>
      </c>
      <c r="N238">
        <v>2</v>
      </c>
      <c r="O238">
        <v>-2</v>
      </c>
      <c r="P238">
        <v>0</v>
      </c>
      <c r="Q238">
        <v>47</v>
      </c>
      <c r="R238">
        <v>0</v>
      </c>
      <c r="T238">
        <v>0</v>
      </c>
      <c r="U238">
        <v>1</v>
      </c>
      <c r="V238">
        <v>983</v>
      </c>
      <c r="W238">
        <v>2</v>
      </c>
      <c r="X238" t="s">
        <v>55</v>
      </c>
      <c r="Y238">
        <v>1</v>
      </c>
      <c r="Z238">
        <v>1</v>
      </c>
      <c r="AA238">
        <v>65</v>
      </c>
      <c r="AB238">
        <v>3</v>
      </c>
      <c r="AC238">
        <v>2</v>
      </c>
      <c r="AD238">
        <v>4</v>
      </c>
      <c r="AE238">
        <v>5070</v>
      </c>
      <c r="AF238">
        <v>7389</v>
      </c>
      <c r="AG238">
        <v>5</v>
      </c>
      <c r="AH238">
        <v>13</v>
      </c>
      <c r="AI238">
        <v>3</v>
      </c>
      <c r="AJ238">
        <v>3</v>
      </c>
      <c r="AK238">
        <v>80</v>
      </c>
      <c r="AL238">
        <v>3</v>
      </c>
      <c r="AM238">
        <v>20</v>
      </c>
      <c r="AN238">
        <v>3</v>
      </c>
      <c r="AO238">
        <v>5</v>
      </c>
      <c r="AP238">
        <v>0</v>
      </c>
      <c r="AQ238">
        <v>0</v>
      </c>
      <c r="AR238">
        <v>4</v>
      </c>
    </row>
    <row r="239" spans="1:44" x14ac:dyDescent="0.3">
      <c r="A239" t="s">
        <v>44</v>
      </c>
      <c r="B239" t="s">
        <v>45</v>
      </c>
      <c r="C239" t="s">
        <v>92</v>
      </c>
      <c r="D239" t="s">
        <v>47</v>
      </c>
      <c r="E239" t="s">
        <v>161</v>
      </c>
      <c r="F239" t="s">
        <v>113</v>
      </c>
      <c r="G239" t="s">
        <v>506</v>
      </c>
      <c r="H239">
        <v>566</v>
      </c>
      <c r="I239" t="s">
        <v>62</v>
      </c>
      <c r="J239" t="s">
        <v>163</v>
      </c>
      <c r="K239" t="s">
        <v>53</v>
      </c>
      <c r="L239" t="s">
        <v>56</v>
      </c>
      <c r="M239" t="s">
        <v>54</v>
      </c>
      <c r="N239">
        <v>3</v>
      </c>
      <c r="O239">
        <v>-2</v>
      </c>
      <c r="P239">
        <v>0</v>
      </c>
      <c r="Q239">
        <v>19</v>
      </c>
      <c r="R239">
        <v>1</v>
      </c>
      <c r="S239">
        <v>1</v>
      </c>
      <c r="T239">
        <v>1</v>
      </c>
      <c r="U239">
        <v>0</v>
      </c>
      <c r="V239">
        <v>489</v>
      </c>
      <c r="W239">
        <v>2</v>
      </c>
      <c r="X239" t="s">
        <v>55</v>
      </c>
      <c r="Y239">
        <v>1</v>
      </c>
      <c r="Z239">
        <v>4</v>
      </c>
      <c r="AA239">
        <v>52</v>
      </c>
      <c r="AB239">
        <v>2</v>
      </c>
      <c r="AC239">
        <v>1</v>
      </c>
      <c r="AD239">
        <v>4</v>
      </c>
      <c r="AE239">
        <v>2564</v>
      </c>
      <c r="AF239">
        <v>18437</v>
      </c>
      <c r="AG239">
        <v>1</v>
      </c>
      <c r="AH239">
        <v>12</v>
      </c>
      <c r="AI239">
        <v>3</v>
      </c>
      <c r="AJ239">
        <v>3</v>
      </c>
      <c r="AK239">
        <v>80</v>
      </c>
      <c r="AL239">
        <v>0</v>
      </c>
      <c r="AM239">
        <v>1</v>
      </c>
      <c r="AN239">
        <v>4</v>
      </c>
      <c r="AO239">
        <v>1</v>
      </c>
      <c r="AP239">
        <v>0</v>
      </c>
      <c r="AQ239">
        <v>0</v>
      </c>
      <c r="AR239">
        <v>0</v>
      </c>
    </row>
    <row r="240" spans="1:44" x14ac:dyDescent="0.3">
      <c r="A240" t="s">
        <v>44</v>
      </c>
      <c r="B240" t="s">
        <v>45</v>
      </c>
      <c r="C240" t="s">
        <v>69</v>
      </c>
      <c r="D240" t="s">
        <v>47</v>
      </c>
      <c r="E240" t="s">
        <v>60</v>
      </c>
      <c r="F240" t="s">
        <v>49</v>
      </c>
      <c r="G240" t="s">
        <v>320</v>
      </c>
      <c r="H240">
        <v>328</v>
      </c>
      <c r="I240" t="s">
        <v>51</v>
      </c>
      <c r="J240" t="s">
        <v>68</v>
      </c>
      <c r="K240" t="s">
        <v>64</v>
      </c>
      <c r="L240" t="s">
        <v>56</v>
      </c>
      <c r="M240" t="s">
        <v>54</v>
      </c>
      <c r="N240">
        <v>3</v>
      </c>
      <c r="O240">
        <v>-2</v>
      </c>
      <c r="P240">
        <v>0</v>
      </c>
      <c r="Q240">
        <v>33</v>
      </c>
      <c r="R240">
        <v>1</v>
      </c>
      <c r="S240">
        <v>1</v>
      </c>
      <c r="T240">
        <v>1</v>
      </c>
      <c r="U240">
        <v>0</v>
      </c>
      <c r="V240">
        <v>465</v>
      </c>
      <c r="W240">
        <v>2</v>
      </c>
      <c r="X240" t="s">
        <v>55</v>
      </c>
      <c r="Y240">
        <v>1</v>
      </c>
      <c r="Z240">
        <v>1</v>
      </c>
      <c r="AA240">
        <v>39</v>
      </c>
      <c r="AB240">
        <v>3</v>
      </c>
      <c r="AC240">
        <v>1</v>
      </c>
      <c r="AD240">
        <v>2</v>
      </c>
      <c r="AE240">
        <v>2707</v>
      </c>
      <c r="AF240">
        <v>21509</v>
      </c>
      <c r="AG240">
        <v>7</v>
      </c>
      <c r="AH240">
        <v>20</v>
      </c>
      <c r="AI240">
        <v>4</v>
      </c>
      <c r="AJ240">
        <v>1</v>
      </c>
      <c r="AK240">
        <v>80</v>
      </c>
      <c r="AL240">
        <v>0</v>
      </c>
      <c r="AM240">
        <v>13</v>
      </c>
      <c r="AN240">
        <v>4</v>
      </c>
      <c r="AO240">
        <v>9</v>
      </c>
      <c r="AP240">
        <v>7</v>
      </c>
      <c r="AQ240">
        <v>1</v>
      </c>
      <c r="AR240">
        <v>7</v>
      </c>
    </row>
    <row r="241" spans="1:44" x14ac:dyDescent="0.3">
      <c r="A241" t="s">
        <v>56</v>
      </c>
      <c r="B241" t="s">
        <v>57</v>
      </c>
      <c r="C241" t="s">
        <v>46</v>
      </c>
      <c r="D241" t="s">
        <v>59</v>
      </c>
      <c r="E241" t="s">
        <v>60</v>
      </c>
      <c r="F241" t="s">
        <v>49</v>
      </c>
      <c r="G241" t="s">
        <v>500</v>
      </c>
      <c r="H241">
        <v>556</v>
      </c>
      <c r="I241" t="s">
        <v>62</v>
      </c>
      <c r="J241" t="s">
        <v>68</v>
      </c>
      <c r="K241" t="s">
        <v>64</v>
      </c>
      <c r="L241" t="s">
        <v>44</v>
      </c>
      <c r="M241" t="s">
        <v>54</v>
      </c>
      <c r="N241">
        <v>3</v>
      </c>
      <c r="O241">
        <v>-2</v>
      </c>
      <c r="P241">
        <v>0</v>
      </c>
      <c r="Q241">
        <v>38</v>
      </c>
      <c r="R241">
        <v>0</v>
      </c>
      <c r="T241">
        <v>0</v>
      </c>
      <c r="U241">
        <v>1</v>
      </c>
      <c r="V241">
        <v>1490</v>
      </c>
      <c r="W241">
        <v>2</v>
      </c>
      <c r="X241" t="s">
        <v>55</v>
      </c>
      <c r="Y241">
        <v>1</v>
      </c>
      <c r="Z241">
        <v>4</v>
      </c>
      <c r="AA241">
        <v>42</v>
      </c>
      <c r="AB241">
        <v>3</v>
      </c>
      <c r="AC241">
        <v>1</v>
      </c>
      <c r="AD241">
        <v>2</v>
      </c>
      <c r="AE241">
        <v>1702</v>
      </c>
      <c r="AF241">
        <v>12106</v>
      </c>
      <c r="AG241">
        <v>1</v>
      </c>
      <c r="AH241">
        <v>23</v>
      </c>
      <c r="AI241">
        <v>4</v>
      </c>
      <c r="AJ241">
        <v>3</v>
      </c>
      <c r="AK241">
        <v>80</v>
      </c>
      <c r="AL241">
        <v>1</v>
      </c>
      <c r="AM241">
        <v>1</v>
      </c>
      <c r="AN241">
        <v>3</v>
      </c>
      <c r="AO241">
        <v>1</v>
      </c>
      <c r="AP241">
        <v>0</v>
      </c>
      <c r="AQ241">
        <v>0</v>
      </c>
      <c r="AR241">
        <v>0</v>
      </c>
    </row>
    <row r="242" spans="1:44" x14ac:dyDescent="0.3">
      <c r="A242" t="s">
        <v>56</v>
      </c>
      <c r="B242" t="s">
        <v>45</v>
      </c>
      <c r="C242" t="s">
        <v>69</v>
      </c>
      <c r="D242" t="s">
        <v>59</v>
      </c>
      <c r="E242" t="s">
        <v>48</v>
      </c>
      <c r="F242" t="s">
        <v>49</v>
      </c>
      <c r="G242" t="s">
        <v>322</v>
      </c>
      <c r="H242">
        <v>330</v>
      </c>
      <c r="I242" t="s">
        <v>51</v>
      </c>
      <c r="J242" t="s">
        <v>99</v>
      </c>
      <c r="K242" t="s">
        <v>64</v>
      </c>
      <c r="L242" t="s">
        <v>56</v>
      </c>
      <c r="M242" t="s">
        <v>54</v>
      </c>
      <c r="N242">
        <v>5</v>
      </c>
      <c r="O242">
        <v>-2</v>
      </c>
      <c r="P242">
        <v>0</v>
      </c>
      <c r="Q242">
        <v>32</v>
      </c>
      <c r="R242">
        <v>0</v>
      </c>
      <c r="T242">
        <v>0</v>
      </c>
      <c r="U242">
        <v>1</v>
      </c>
      <c r="V242">
        <v>1401</v>
      </c>
      <c r="W242">
        <v>4</v>
      </c>
      <c r="X242" t="s">
        <v>55</v>
      </c>
      <c r="Y242">
        <v>1</v>
      </c>
      <c r="Z242">
        <v>3</v>
      </c>
      <c r="AA242">
        <v>56</v>
      </c>
      <c r="AB242">
        <v>3</v>
      </c>
      <c r="AC242">
        <v>1</v>
      </c>
      <c r="AD242">
        <v>2</v>
      </c>
      <c r="AE242">
        <v>3931</v>
      </c>
      <c r="AF242">
        <v>20990</v>
      </c>
      <c r="AG242">
        <v>2</v>
      </c>
      <c r="AH242">
        <v>11</v>
      </c>
      <c r="AI242">
        <v>3</v>
      </c>
      <c r="AJ242">
        <v>1</v>
      </c>
      <c r="AK242">
        <v>80</v>
      </c>
      <c r="AL242">
        <v>1</v>
      </c>
      <c r="AM242">
        <v>6</v>
      </c>
      <c r="AN242">
        <v>3</v>
      </c>
      <c r="AO242">
        <v>4</v>
      </c>
      <c r="AP242">
        <v>3</v>
      </c>
      <c r="AQ242">
        <v>1</v>
      </c>
      <c r="AR242">
        <v>2</v>
      </c>
    </row>
    <row r="243" spans="1:44" x14ac:dyDescent="0.3">
      <c r="A243" t="s">
        <v>44</v>
      </c>
      <c r="B243" t="s">
        <v>57</v>
      </c>
      <c r="C243" t="s">
        <v>69</v>
      </c>
      <c r="D243" t="s">
        <v>47</v>
      </c>
      <c r="E243" t="s">
        <v>48</v>
      </c>
      <c r="F243" t="s">
        <v>106</v>
      </c>
      <c r="G243" t="s">
        <v>499</v>
      </c>
      <c r="H243">
        <v>555</v>
      </c>
      <c r="I243" t="s">
        <v>51</v>
      </c>
      <c r="J243" t="s">
        <v>99</v>
      </c>
      <c r="K243" t="s">
        <v>79</v>
      </c>
      <c r="L243" t="s">
        <v>56</v>
      </c>
      <c r="M243" t="s">
        <v>54</v>
      </c>
      <c r="N243">
        <v>3</v>
      </c>
      <c r="O243">
        <v>-2</v>
      </c>
      <c r="P243">
        <v>0</v>
      </c>
      <c r="Q243">
        <v>34</v>
      </c>
      <c r="R243">
        <v>1</v>
      </c>
      <c r="S243">
        <v>1</v>
      </c>
      <c r="T243">
        <v>1</v>
      </c>
      <c r="U243">
        <v>0</v>
      </c>
      <c r="V243">
        <v>296</v>
      </c>
      <c r="W243">
        <v>6</v>
      </c>
      <c r="X243" t="s">
        <v>55</v>
      </c>
      <c r="Y243">
        <v>1</v>
      </c>
      <c r="Z243">
        <v>4</v>
      </c>
      <c r="AA243">
        <v>33</v>
      </c>
      <c r="AB243">
        <v>1</v>
      </c>
      <c r="AC243">
        <v>1</v>
      </c>
      <c r="AD243">
        <v>1</v>
      </c>
      <c r="AE243">
        <v>2351</v>
      </c>
      <c r="AF243">
        <v>12253</v>
      </c>
      <c r="AG243">
        <v>0</v>
      </c>
      <c r="AH243">
        <v>16</v>
      </c>
      <c r="AI243">
        <v>3</v>
      </c>
      <c r="AJ243">
        <v>4</v>
      </c>
      <c r="AK243">
        <v>80</v>
      </c>
      <c r="AL243">
        <v>1</v>
      </c>
      <c r="AM243">
        <v>3</v>
      </c>
      <c r="AN243">
        <v>2</v>
      </c>
      <c r="AO243">
        <v>2</v>
      </c>
      <c r="AP243">
        <v>2</v>
      </c>
      <c r="AQ243">
        <v>1</v>
      </c>
      <c r="AR243">
        <v>0</v>
      </c>
    </row>
    <row r="244" spans="1:44" x14ac:dyDescent="0.3">
      <c r="A244" t="s">
        <v>56</v>
      </c>
      <c r="B244" t="s">
        <v>57</v>
      </c>
      <c r="C244" t="s">
        <v>46</v>
      </c>
      <c r="D244" t="s">
        <v>59</v>
      </c>
      <c r="E244" t="s">
        <v>60</v>
      </c>
      <c r="F244" t="s">
        <v>49</v>
      </c>
      <c r="G244" t="s">
        <v>493</v>
      </c>
      <c r="H244">
        <v>547</v>
      </c>
      <c r="I244" t="s">
        <v>51</v>
      </c>
      <c r="J244" t="s">
        <v>63</v>
      </c>
      <c r="K244" t="s">
        <v>79</v>
      </c>
      <c r="L244" t="s">
        <v>56</v>
      </c>
      <c r="M244" t="s">
        <v>54</v>
      </c>
      <c r="N244">
        <v>3</v>
      </c>
      <c r="O244">
        <v>-2</v>
      </c>
      <c r="P244">
        <v>0</v>
      </c>
      <c r="Q244">
        <v>42</v>
      </c>
      <c r="R244">
        <v>0</v>
      </c>
      <c r="T244">
        <v>0</v>
      </c>
      <c r="U244">
        <v>1</v>
      </c>
      <c r="V244">
        <v>532</v>
      </c>
      <c r="W244">
        <v>29</v>
      </c>
      <c r="X244" t="s">
        <v>55</v>
      </c>
      <c r="Y244">
        <v>1</v>
      </c>
      <c r="Z244">
        <v>1</v>
      </c>
      <c r="AA244">
        <v>92</v>
      </c>
      <c r="AB244">
        <v>3</v>
      </c>
      <c r="AC244">
        <v>2</v>
      </c>
      <c r="AD244">
        <v>2</v>
      </c>
      <c r="AE244">
        <v>4556</v>
      </c>
      <c r="AF244">
        <v>12932</v>
      </c>
      <c r="AG244">
        <v>2</v>
      </c>
      <c r="AH244">
        <v>11</v>
      </c>
      <c r="AI244">
        <v>3</v>
      </c>
      <c r="AJ244">
        <v>2</v>
      </c>
      <c r="AK244">
        <v>80</v>
      </c>
      <c r="AL244">
        <v>1</v>
      </c>
      <c r="AM244">
        <v>19</v>
      </c>
      <c r="AN244">
        <v>3</v>
      </c>
      <c r="AO244">
        <v>5</v>
      </c>
      <c r="AP244">
        <v>4</v>
      </c>
      <c r="AQ244">
        <v>0</v>
      </c>
      <c r="AR244">
        <v>2</v>
      </c>
    </row>
    <row r="245" spans="1:44" x14ac:dyDescent="0.3">
      <c r="A245" t="s">
        <v>56</v>
      </c>
      <c r="B245" t="s">
        <v>45</v>
      </c>
      <c r="C245" t="s">
        <v>58</v>
      </c>
      <c r="D245" t="s">
        <v>59</v>
      </c>
      <c r="E245" t="s">
        <v>60</v>
      </c>
      <c r="F245" t="s">
        <v>49</v>
      </c>
      <c r="G245" t="s">
        <v>492</v>
      </c>
      <c r="H245">
        <v>546</v>
      </c>
      <c r="I245" t="s">
        <v>51</v>
      </c>
      <c r="J245" t="s">
        <v>95</v>
      </c>
      <c r="K245" t="s">
        <v>64</v>
      </c>
      <c r="L245" t="s">
        <v>56</v>
      </c>
      <c r="M245" t="s">
        <v>54</v>
      </c>
      <c r="N245">
        <v>2</v>
      </c>
      <c r="O245">
        <v>-2</v>
      </c>
      <c r="P245">
        <v>0</v>
      </c>
      <c r="Q245">
        <v>52</v>
      </c>
      <c r="R245">
        <v>0</v>
      </c>
      <c r="T245">
        <v>0</v>
      </c>
      <c r="U245">
        <v>1</v>
      </c>
      <c r="V245">
        <v>1490</v>
      </c>
      <c r="W245">
        <v>4</v>
      </c>
      <c r="X245" t="s">
        <v>55</v>
      </c>
      <c r="Y245">
        <v>1</v>
      </c>
      <c r="Z245">
        <v>4</v>
      </c>
      <c r="AA245">
        <v>30</v>
      </c>
      <c r="AB245">
        <v>3</v>
      </c>
      <c r="AC245">
        <v>4</v>
      </c>
      <c r="AD245">
        <v>2</v>
      </c>
      <c r="AE245">
        <v>16555</v>
      </c>
      <c r="AF245">
        <v>10310</v>
      </c>
      <c r="AG245">
        <v>2</v>
      </c>
      <c r="AH245">
        <v>13</v>
      </c>
      <c r="AI245">
        <v>3</v>
      </c>
      <c r="AJ245">
        <v>4</v>
      </c>
      <c r="AK245">
        <v>80</v>
      </c>
      <c r="AL245">
        <v>0</v>
      </c>
      <c r="AM245">
        <v>31</v>
      </c>
      <c r="AN245">
        <v>1</v>
      </c>
      <c r="AO245">
        <v>5</v>
      </c>
      <c r="AP245">
        <v>2</v>
      </c>
      <c r="AQ245">
        <v>1</v>
      </c>
      <c r="AR245">
        <v>4</v>
      </c>
    </row>
    <row r="246" spans="1:44" x14ac:dyDescent="0.3">
      <c r="A246" t="s">
        <v>56</v>
      </c>
      <c r="B246" t="s">
        <v>45</v>
      </c>
      <c r="C246" t="s">
        <v>46</v>
      </c>
      <c r="D246" t="s">
        <v>59</v>
      </c>
      <c r="E246" t="s">
        <v>60</v>
      </c>
      <c r="F246" t="s">
        <v>49</v>
      </c>
      <c r="G246" t="s">
        <v>326</v>
      </c>
      <c r="H246">
        <v>334</v>
      </c>
      <c r="I246" t="s">
        <v>62</v>
      </c>
      <c r="J246" t="s">
        <v>63</v>
      </c>
      <c r="K246" t="s">
        <v>79</v>
      </c>
      <c r="L246" t="s">
        <v>56</v>
      </c>
      <c r="M246" t="s">
        <v>54</v>
      </c>
      <c r="N246">
        <v>2</v>
      </c>
      <c r="O246">
        <v>-2</v>
      </c>
      <c r="P246">
        <v>0</v>
      </c>
      <c r="Q246">
        <v>41</v>
      </c>
      <c r="R246">
        <v>0</v>
      </c>
      <c r="T246">
        <v>0</v>
      </c>
      <c r="U246">
        <v>1</v>
      </c>
      <c r="V246">
        <v>1411</v>
      </c>
      <c r="W246">
        <v>19</v>
      </c>
      <c r="X246" t="s">
        <v>55</v>
      </c>
      <c r="Y246">
        <v>1</v>
      </c>
      <c r="Z246">
        <v>3</v>
      </c>
      <c r="AA246">
        <v>36</v>
      </c>
      <c r="AB246">
        <v>3</v>
      </c>
      <c r="AC246">
        <v>2</v>
      </c>
      <c r="AD246">
        <v>2</v>
      </c>
      <c r="AE246">
        <v>3072</v>
      </c>
      <c r="AF246">
        <v>19877</v>
      </c>
      <c r="AG246">
        <v>2</v>
      </c>
      <c r="AH246">
        <v>16</v>
      </c>
      <c r="AI246">
        <v>3</v>
      </c>
      <c r="AJ246">
        <v>1</v>
      </c>
      <c r="AK246">
        <v>80</v>
      </c>
      <c r="AL246">
        <v>2</v>
      </c>
      <c r="AM246">
        <v>17</v>
      </c>
      <c r="AN246">
        <v>2</v>
      </c>
      <c r="AO246">
        <v>1</v>
      </c>
      <c r="AP246">
        <v>0</v>
      </c>
      <c r="AQ246">
        <v>0</v>
      </c>
      <c r="AR246">
        <v>0</v>
      </c>
    </row>
    <row r="247" spans="1:44" x14ac:dyDescent="0.3">
      <c r="A247" t="s">
        <v>56</v>
      </c>
      <c r="B247" t="s">
        <v>45</v>
      </c>
      <c r="C247" t="s">
        <v>46</v>
      </c>
      <c r="D247" t="s">
        <v>59</v>
      </c>
      <c r="E247" t="s">
        <v>60</v>
      </c>
      <c r="F247" t="s">
        <v>113</v>
      </c>
      <c r="G247" t="s">
        <v>327</v>
      </c>
      <c r="H247">
        <v>335</v>
      </c>
      <c r="I247" t="s">
        <v>62</v>
      </c>
      <c r="J247" t="s">
        <v>63</v>
      </c>
      <c r="K247" t="s">
        <v>79</v>
      </c>
      <c r="L247" t="s">
        <v>56</v>
      </c>
      <c r="M247" t="s">
        <v>54</v>
      </c>
      <c r="N247">
        <v>3</v>
      </c>
      <c r="O247">
        <v>-2</v>
      </c>
      <c r="P247">
        <v>0</v>
      </c>
      <c r="Q247">
        <v>40</v>
      </c>
      <c r="R247">
        <v>0</v>
      </c>
      <c r="T247">
        <v>0</v>
      </c>
      <c r="U247">
        <v>1</v>
      </c>
      <c r="V247">
        <v>1300</v>
      </c>
      <c r="W247">
        <v>24</v>
      </c>
      <c r="X247" t="s">
        <v>55</v>
      </c>
      <c r="Y247">
        <v>1</v>
      </c>
      <c r="Z247">
        <v>4</v>
      </c>
      <c r="AA247">
        <v>62</v>
      </c>
      <c r="AB247">
        <v>3</v>
      </c>
      <c r="AC247">
        <v>2</v>
      </c>
      <c r="AD247">
        <v>4</v>
      </c>
      <c r="AE247">
        <v>3319</v>
      </c>
      <c r="AF247">
        <v>24447</v>
      </c>
      <c r="AG247">
        <v>1</v>
      </c>
      <c r="AH247">
        <v>17</v>
      </c>
      <c r="AI247">
        <v>3</v>
      </c>
      <c r="AJ247">
        <v>1</v>
      </c>
      <c r="AK247">
        <v>80</v>
      </c>
      <c r="AL247">
        <v>2</v>
      </c>
      <c r="AM247">
        <v>9</v>
      </c>
      <c r="AN247">
        <v>3</v>
      </c>
      <c r="AO247">
        <v>9</v>
      </c>
      <c r="AP247">
        <v>8</v>
      </c>
      <c r="AQ247">
        <v>4</v>
      </c>
      <c r="AR247">
        <v>7</v>
      </c>
    </row>
    <row r="248" spans="1:44" x14ac:dyDescent="0.3">
      <c r="A248" t="s">
        <v>56</v>
      </c>
      <c r="B248" t="s">
        <v>45</v>
      </c>
      <c r="C248" t="s">
        <v>58</v>
      </c>
      <c r="D248" t="s">
        <v>59</v>
      </c>
      <c r="E248" t="s">
        <v>60</v>
      </c>
      <c r="F248" t="s">
        <v>49</v>
      </c>
      <c r="G248" t="s">
        <v>491</v>
      </c>
      <c r="H248">
        <v>544</v>
      </c>
      <c r="I248" t="s">
        <v>62</v>
      </c>
      <c r="J248" t="s">
        <v>63</v>
      </c>
      <c r="K248" t="s">
        <v>64</v>
      </c>
      <c r="L248" t="s">
        <v>56</v>
      </c>
      <c r="M248" t="s">
        <v>54</v>
      </c>
      <c r="N248">
        <v>3</v>
      </c>
      <c r="O248">
        <v>-2</v>
      </c>
      <c r="P248">
        <v>0</v>
      </c>
      <c r="Q248">
        <v>45</v>
      </c>
      <c r="R248">
        <v>0</v>
      </c>
      <c r="T248">
        <v>0</v>
      </c>
      <c r="U248">
        <v>1</v>
      </c>
      <c r="V248">
        <v>192</v>
      </c>
      <c r="W248">
        <v>10</v>
      </c>
      <c r="X248" t="s">
        <v>55</v>
      </c>
      <c r="Y248">
        <v>1</v>
      </c>
      <c r="Z248">
        <v>1</v>
      </c>
      <c r="AA248">
        <v>69</v>
      </c>
      <c r="AB248">
        <v>3</v>
      </c>
      <c r="AC248">
        <v>1</v>
      </c>
      <c r="AD248">
        <v>2</v>
      </c>
      <c r="AE248">
        <v>2654</v>
      </c>
      <c r="AF248">
        <v>9655</v>
      </c>
      <c r="AG248">
        <v>3</v>
      </c>
      <c r="AH248">
        <v>21</v>
      </c>
      <c r="AI248">
        <v>4</v>
      </c>
      <c r="AJ248">
        <v>4</v>
      </c>
      <c r="AK248">
        <v>80</v>
      </c>
      <c r="AL248">
        <v>2</v>
      </c>
      <c r="AM248">
        <v>8</v>
      </c>
      <c r="AN248">
        <v>2</v>
      </c>
      <c r="AO248">
        <v>2</v>
      </c>
      <c r="AP248">
        <v>2</v>
      </c>
      <c r="AQ248">
        <v>0</v>
      </c>
      <c r="AR248">
        <v>2</v>
      </c>
    </row>
    <row r="249" spans="1:44" x14ac:dyDescent="0.3">
      <c r="A249" t="s">
        <v>56</v>
      </c>
      <c r="B249" t="s">
        <v>45</v>
      </c>
      <c r="C249" t="s">
        <v>69</v>
      </c>
      <c r="D249" t="s">
        <v>59</v>
      </c>
      <c r="E249" t="s">
        <v>60</v>
      </c>
      <c r="F249" t="s">
        <v>72</v>
      </c>
      <c r="G249" t="s">
        <v>488</v>
      </c>
      <c r="H249">
        <v>536</v>
      </c>
      <c r="I249" t="s">
        <v>62</v>
      </c>
      <c r="J249" t="s">
        <v>68</v>
      </c>
      <c r="K249" t="s">
        <v>79</v>
      </c>
      <c r="L249" t="s">
        <v>56</v>
      </c>
      <c r="M249" t="s">
        <v>54</v>
      </c>
      <c r="N249">
        <v>2</v>
      </c>
      <c r="O249">
        <v>-2</v>
      </c>
      <c r="P249">
        <v>0</v>
      </c>
      <c r="Q249">
        <v>28</v>
      </c>
      <c r="R249">
        <v>0</v>
      </c>
      <c r="T249">
        <v>0</v>
      </c>
      <c r="U249">
        <v>1</v>
      </c>
      <c r="V249">
        <v>1300</v>
      </c>
      <c r="W249">
        <v>17</v>
      </c>
      <c r="X249" t="s">
        <v>55</v>
      </c>
      <c r="Y249">
        <v>1</v>
      </c>
      <c r="Z249">
        <v>3</v>
      </c>
      <c r="AA249">
        <v>79</v>
      </c>
      <c r="AB249">
        <v>3</v>
      </c>
      <c r="AC249">
        <v>2</v>
      </c>
      <c r="AD249">
        <v>3</v>
      </c>
      <c r="AE249">
        <v>4558</v>
      </c>
      <c r="AF249">
        <v>13535</v>
      </c>
      <c r="AG249">
        <v>1</v>
      </c>
      <c r="AH249">
        <v>12</v>
      </c>
      <c r="AI249">
        <v>3</v>
      </c>
      <c r="AJ249">
        <v>4</v>
      </c>
      <c r="AK249">
        <v>80</v>
      </c>
      <c r="AL249">
        <v>1</v>
      </c>
      <c r="AM249">
        <v>10</v>
      </c>
      <c r="AN249">
        <v>3</v>
      </c>
      <c r="AO249">
        <v>10</v>
      </c>
      <c r="AP249">
        <v>0</v>
      </c>
      <c r="AQ249">
        <v>1</v>
      </c>
      <c r="AR249">
        <v>8</v>
      </c>
    </row>
    <row r="250" spans="1:44" x14ac:dyDescent="0.3">
      <c r="A250" t="s">
        <v>56</v>
      </c>
      <c r="B250" t="s">
        <v>45</v>
      </c>
      <c r="C250" t="s">
        <v>69</v>
      </c>
      <c r="D250" t="s">
        <v>59</v>
      </c>
      <c r="E250" t="s">
        <v>60</v>
      </c>
      <c r="F250" t="s">
        <v>49</v>
      </c>
      <c r="G250" t="s">
        <v>483</v>
      </c>
      <c r="H250">
        <v>530</v>
      </c>
      <c r="I250" t="s">
        <v>62</v>
      </c>
      <c r="J250" t="s">
        <v>68</v>
      </c>
      <c r="K250" t="s">
        <v>64</v>
      </c>
      <c r="L250" t="s">
        <v>56</v>
      </c>
      <c r="M250" t="s">
        <v>54</v>
      </c>
      <c r="N250">
        <v>3</v>
      </c>
      <c r="O250">
        <v>-2</v>
      </c>
      <c r="P250">
        <v>0</v>
      </c>
      <c r="Q250">
        <v>31</v>
      </c>
      <c r="R250">
        <v>0</v>
      </c>
      <c r="T250">
        <v>0</v>
      </c>
      <c r="U250">
        <v>1</v>
      </c>
      <c r="V250">
        <v>329</v>
      </c>
      <c r="W250">
        <v>1</v>
      </c>
      <c r="X250" t="s">
        <v>55</v>
      </c>
      <c r="Y250">
        <v>1</v>
      </c>
      <c r="Z250">
        <v>4</v>
      </c>
      <c r="AA250">
        <v>98</v>
      </c>
      <c r="AB250">
        <v>2</v>
      </c>
      <c r="AC250">
        <v>1</v>
      </c>
      <c r="AD250">
        <v>2</v>
      </c>
      <c r="AE250">
        <v>2218</v>
      </c>
      <c r="AF250">
        <v>16193</v>
      </c>
      <c r="AG250">
        <v>1</v>
      </c>
      <c r="AH250">
        <v>12</v>
      </c>
      <c r="AI250">
        <v>3</v>
      </c>
      <c r="AJ250">
        <v>3</v>
      </c>
      <c r="AK250">
        <v>80</v>
      </c>
      <c r="AL250">
        <v>1</v>
      </c>
      <c r="AM250">
        <v>4</v>
      </c>
      <c r="AN250">
        <v>3</v>
      </c>
      <c r="AO250">
        <v>4</v>
      </c>
      <c r="AP250">
        <v>2</v>
      </c>
      <c r="AQ250">
        <v>3</v>
      </c>
      <c r="AR250">
        <v>2</v>
      </c>
    </row>
    <row r="251" spans="1:44" x14ac:dyDescent="0.3">
      <c r="A251" t="s">
        <v>56</v>
      </c>
      <c r="B251" t="s">
        <v>45</v>
      </c>
      <c r="C251" t="s">
        <v>69</v>
      </c>
      <c r="D251" t="s">
        <v>59</v>
      </c>
      <c r="E251" t="s">
        <v>48</v>
      </c>
      <c r="F251" t="s">
        <v>49</v>
      </c>
      <c r="G251" t="s">
        <v>481</v>
      </c>
      <c r="H251">
        <v>527</v>
      </c>
      <c r="I251" t="s">
        <v>51</v>
      </c>
      <c r="J251" t="s">
        <v>52</v>
      </c>
      <c r="K251" t="s">
        <v>53</v>
      </c>
      <c r="L251" t="s">
        <v>44</v>
      </c>
      <c r="M251" t="s">
        <v>54</v>
      </c>
      <c r="N251">
        <v>3</v>
      </c>
      <c r="O251">
        <v>-2</v>
      </c>
      <c r="P251">
        <v>0</v>
      </c>
      <c r="Q251">
        <v>25</v>
      </c>
      <c r="R251">
        <v>0</v>
      </c>
      <c r="T251">
        <v>0</v>
      </c>
      <c r="U251">
        <v>1</v>
      </c>
      <c r="V251">
        <v>891</v>
      </c>
      <c r="W251">
        <v>4</v>
      </c>
      <c r="X251" t="s">
        <v>55</v>
      </c>
      <c r="Y251">
        <v>1</v>
      </c>
      <c r="Z251">
        <v>2</v>
      </c>
      <c r="AA251">
        <v>99</v>
      </c>
      <c r="AB251">
        <v>2</v>
      </c>
      <c r="AC251">
        <v>2</v>
      </c>
      <c r="AD251">
        <v>2</v>
      </c>
      <c r="AE251">
        <v>4487</v>
      </c>
      <c r="AF251">
        <v>12090</v>
      </c>
      <c r="AG251">
        <v>1</v>
      </c>
      <c r="AH251">
        <v>11</v>
      </c>
      <c r="AI251">
        <v>3</v>
      </c>
      <c r="AJ251">
        <v>2</v>
      </c>
      <c r="AK251">
        <v>80</v>
      </c>
      <c r="AL251">
        <v>0</v>
      </c>
      <c r="AM251">
        <v>5</v>
      </c>
      <c r="AN251">
        <v>3</v>
      </c>
      <c r="AO251">
        <v>5</v>
      </c>
      <c r="AP251">
        <v>4</v>
      </c>
      <c r="AQ251">
        <v>1</v>
      </c>
      <c r="AR251">
        <v>3</v>
      </c>
    </row>
    <row r="252" spans="1:44" x14ac:dyDescent="0.3">
      <c r="A252" t="s">
        <v>56</v>
      </c>
      <c r="B252" t="s">
        <v>45</v>
      </c>
      <c r="C252" t="s">
        <v>46</v>
      </c>
      <c r="D252" t="s">
        <v>59</v>
      </c>
      <c r="E252" t="s">
        <v>60</v>
      </c>
      <c r="F252" t="s">
        <v>72</v>
      </c>
      <c r="G252" t="s">
        <v>332</v>
      </c>
      <c r="H252">
        <v>340</v>
      </c>
      <c r="I252" t="s">
        <v>51</v>
      </c>
      <c r="J252" t="s">
        <v>63</v>
      </c>
      <c r="K252" t="s">
        <v>64</v>
      </c>
      <c r="L252" t="s">
        <v>56</v>
      </c>
      <c r="M252" t="s">
        <v>54</v>
      </c>
      <c r="N252">
        <v>2</v>
      </c>
      <c r="O252">
        <v>-2</v>
      </c>
      <c r="P252">
        <v>0</v>
      </c>
      <c r="Q252">
        <v>37</v>
      </c>
      <c r="R252">
        <v>0</v>
      </c>
      <c r="T252">
        <v>0</v>
      </c>
      <c r="U252">
        <v>1</v>
      </c>
      <c r="V252">
        <v>1017</v>
      </c>
      <c r="W252">
        <v>1</v>
      </c>
      <c r="X252" t="s">
        <v>55</v>
      </c>
      <c r="Y252">
        <v>1</v>
      </c>
      <c r="Z252">
        <v>3</v>
      </c>
      <c r="AA252">
        <v>83</v>
      </c>
      <c r="AB252">
        <v>2</v>
      </c>
      <c r="AC252">
        <v>1</v>
      </c>
      <c r="AD252">
        <v>3</v>
      </c>
      <c r="AE252">
        <v>3920</v>
      </c>
      <c r="AF252">
        <v>18697</v>
      </c>
      <c r="AG252">
        <v>2</v>
      </c>
      <c r="AH252">
        <v>14</v>
      </c>
      <c r="AI252">
        <v>3</v>
      </c>
      <c r="AJ252">
        <v>1</v>
      </c>
      <c r="AK252">
        <v>80</v>
      </c>
      <c r="AL252">
        <v>1</v>
      </c>
      <c r="AM252">
        <v>17</v>
      </c>
      <c r="AN252">
        <v>2</v>
      </c>
      <c r="AO252">
        <v>3</v>
      </c>
      <c r="AP252">
        <v>1</v>
      </c>
      <c r="AQ252">
        <v>0</v>
      </c>
      <c r="AR252">
        <v>2</v>
      </c>
    </row>
    <row r="253" spans="1:44" x14ac:dyDescent="0.3">
      <c r="A253" t="s">
        <v>56</v>
      </c>
      <c r="B253" t="s">
        <v>45</v>
      </c>
      <c r="C253" t="s">
        <v>69</v>
      </c>
      <c r="D253" t="s">
        <v>59</v>
      </c>
      <c r="E253" t="s">
        <v>60</v>
      </c>
      <c r="F253" t="s">
        <v>72</v>
      </c>
      <c r="G253" t="s">
        <v>478</v>
      </c>
      <c r="H253">
        <v>524</v>
      </c>
      <c r="I253" t="s">
        <v>51</v>
      </c>
      <c r="J253" t="s">
        <v>81</v>
      </c>
      <c r="K253" t="s">
        <v>64</v>
      </c>
      <c r="L253" t="s">
        <v>56</v>
      </c>
      <c r="M253" t="s">
        <v>54</v>
      </c>
      <c r="N253">
        <v>5</v>
      </c>
      <c r="O253">
        <v>-2</v>
      </c>
      <c r="P253">
        <v>0</v>
      </c>
      <c r="Q253">
        <v>31</v>
      </c>
      <c r="R253">
        <v>0</v>
      </c>
      <c r="T253">
        <v>0</v>
      </c>
      <c r="U253">
        <v>1</v>
      </c>
      <c r="V253">
        <v>480</v>
      </c>
      <c r="W253">
        <v>7</v>
      </c>
      <c r="X253" t="s">
        <v>55</v>
      </c>
      <c r="Y253">
        <v>1</v>
      </c>
      <c r="Z253">
        <v>2</v>
      </c>
      <c r="AA253">
        <v>31</v>
      </c>
      <c r="AB253">
        <v>3</v>
      </c>
      <c r="AC253">
        <v>2</v>
      </c>
      <c r="AD253">
        <v>3</v>
      </c>
      <c r="AE253">
        <v>4306</v>
      </c>
      <c r="AF253">
        <v>4156</v>
      </c>
      <c r="AG253">
        <v>1</v>
      </c>
      <c r="AH253">
        <v>12</v>
      </c>
      <c r="AI253">
        <v>3</v>
      </c>
      <c r="AJ253">
        <v>2</v>
      </c>
      <c r="AK253">
        <v>80</v>
      </c>
      <c r="AL253">
        <v>1</v>
      </c>
      <c r="AM253">
        <v>13</v>
      </c>
      <c r="AN253">
        <v>1</v>
      </c>
      <c r="AO253">
        <v>13</v>
      </c>
      <c r="AP253">
        <v>10</v>
      </c>
      <c r="AQ253">
        <v>3</v>
      </c>
      <c r="AR253">
        <v>12</v>
      </c>
    </row>
    <row r="254" spans="1:44" x14ac:dyDescent="0.3">
      <c r="A254" t="s">
        <v>56</v>
      </c>
      <c r="B254" t="s">
        <v>45</v>
      </c>
      <c r="C254" t="s">
        <v>58</v>
      </c>
      <c r="D254" t="s">
        <v>59</v>
      </c>
      <c r="E254" t="s">
        <v>60</v>
      </c>
      <c r="F254" t="s">
        <v>72</v>
      </c>
      <c r="G254" t="s">
        <v>476</v>
      </c>
      <c r="H254">
        <v>522</v>
      </c>
      <c r="I254" t="s">
        <v>62</v>
      </c>
      <c r="J254" t="s">
        <v>101</v>
      </c>
      <c r="K254" t="s">
        <v>64</v>
      </c>
      <c r="L254" t="s">
        <v>56</v>
      </c>
      <c r="M254" t="s">
        <v>54</v>
      </c>
      <c r="N254">
        <v>4</v>
      </c>
      <c r="O254">
        <v>-2</v>
      </c>
      <c r="P254">
        <v>0</v>
      </c>
      <c r="Q254">
        <v>54</v>
      </c>
      <c r="R254">
        <v>0</v>
      </c>
      <c r="T254">
        <v>0</v>
      </c>
      <c r="U254">
        <v>1</v>
      </c>
      <c r="V254">
        <v>821</v>
      </c>
      <c r="W254">
        <v>5</v>
      </c>
      <c r="X254" t="s">
        <v>55</v>
      </c>
      <c r="Y254">
        <v>1</v>
      </c>
      <c r="Z254">
        <v>1</v>
      </c>
      <c r="AA254">
        <v>86</v>
      </c>
      <c r="AB254">
        <v>3</v>
      </c>
      <c r="AC254">
        <v>5</v>
      </c>
      <c r="AD254">
        <v>3</v>
      </c>
      <c r="AE254">
        <v>19406</v>
      </c>
      <c r="AF254">
        <v>8509</v>
      </c>
      <c r="AG254">
        <v>4</v>
      </c>
      <c r="AH254">
        <v>11</v>
      </c>
      <c r="AI254">
        <v>3</v>
      </c>
      <c r="AJ254">
        <v>3</v>
      </c>
      <c r="AK254">
        <v>80</v>
      </c>
      <c r="AL254">
        <v>1</v>
      </c>
      <c r="AM254">
        <v>24</v>
      </c>
      <c r="AN254">
        <v>2</v>
      </c>
      <c r="AO254">
        <v>4</v>
      </c>
      <c r="AP254">
        <v>2</v>
      </c>
      <c r="AQ254">
        <v>1</v>
      </c>
      <c r="AR254">
        <v>2</v>
      </c>
    </row>
    <row r="255" spans="1:44" x14ac:dyDescent="0.3">
      <c r="A255" t="s">
        <v>56</v>
      </c>
      <c r="B255" t="s">
        <v>45</v>
      </c>
      <c r="C255" t="s">
        <v>46</v>
      </c>
      <c r="D255" t="s">
        <v>59</v>
      </c>
      <c r="E255" t="s">
        <v>48</v>
      </c>
      <c r="F255" t="s">
        <v>106</v>
      </c>
      <c r="G255" t="s">
        <v>471</v>
      </c>
      <c r="H255">
        <v>516</v>
      </c>
      <c r="I255" t="s">
        <v>51</v>
      </c>
      <c r="J255" t="s">
        <v>52</v>
      </c>
      <c r="K255" t="s">
        <v>79</v>
      </c>
      <c r="L255" t="s">
        <v>56</v>
      </c>
      <c r="M255" t="s">
        <v>54</v>
      </c>
      <c r="N255">
        <v>5</v>
      </c>
      <c r="O255">
        <v>-2</v>
      </c>
      <c r="P255">
        <v>0</v>
      </c>
      <c r="Q255">
        <v>40</v>
      </c>
      <c r="R255">
        <v>0</v>
      </c>
      <c r="T255">
        <v>0</v>
      </c>
      <c r="U255">
        <v>1</v>
      </c>
      <c r="V255">
        <v>759</v>
      </c>
      <c r="W255">
        <v>2</v>
      </c>
      <c r="X255" t="s">
        <v>55</v>
      </c>
      <c r="Y255">
        <v>1</v>
      </c>
      <c r="Z255">
        <v>4</v>
      </c>
      <c r="AA255">
        <v>46</v>
      </c>
      <c r="AB255">
        <v>3</v>
      </c>
      <c r="AC255">
        <v>2</v>
      </c>
      <c r="AD255">
        <v>1</v>
      </c>
      <c r="AE255">
        <v>5715</v>
      </c>
      <c r="AF255">
        <v>22553</v>
      </c>
      <c r="AG255">
        <v>7</v>
      </c>
      <c r="AH255">
        <v>12</v>
      </c>
      <c r="AI255">
        <v>3</v>
      </c>
      <c r="AJ255">
        <v>3</v>
      </c>
      <c r="AK255">
        <v>80</v>
      </c>
      <c r="AL255">
        <v>2</v>
      </c>
      <c r="AM255">
        <v>8</v>
      </c>
      <c r="AN255">
        <v>3</v>
      </c>
      <c r="AO255">
        <v>5</v>
      </c>
      <c r="AP255">
        <v>4</v>
      </c>
      <c r="AQ255">
        <v>1</v>
      </c>
      <c r="AR255">
        <v>3</v>
      </c>
    </row>
    <row r="256" spans="1:44" x14ac:dyDescent="0.3">
      <c r="A256" t="s">
        <v>56</v>
      </c>
      <c r="B256" t="s">
        <v>45</v>
      </c>
      <c r="C256" t="s">
        <v>46</v>
      </c>
      <c r="D256" t="s">
        <v>59</v>
      </c>
      <c r="E256" t="s">
        <v>48</v>
      </c>
      <c r="F256" t="s">
        <v>72</v>
      </c>
      <c r="G256" t="s">
        <v>468</v>
      </c>
      <c r="H256">
        <v>513</v>
      </c>
      <c r="I256" t="s">
        <v>62</v>
      </c>
      <c r="J256" t="s">
        <v>52</v>
      </c>
      <c r="K256" t="s">
        <v>64</v>
      </c>
      <c r="L256" t="s">
        <v>56</v>
      </c>
      <c r="M256" t="s">
        <v>54</v>
      </c>
      <c r="N256">
        <v>2</v>
      </c>
      <c r="O256">
        <v>-2</v>
      </c>
      <c r="P256">
        <v>0</v>
      </c>
      <c r="Q256">
        <v>36</v>
      </c>
      <c r="R256">
        <v>0</v>
      </c>
      <c r="T256">
        <v>0</v>
      </c>
      <c r="U256">
        <v>1</v>
      </c>
      <c r="V256">
        <v>164</v>
      </c>
      <c r="W256">
        <v>2</v>
      </c>
      <c r="X256" t="s">
        <v>55</v>
      </c>
      <c r="Y256">
        <v>1</v>
      </c>
      <c r="Z256">
        <v>2</v>
      </c>
      <c r="AA256">
        <v>61</v>
      </c>
      <c r="AB256">
        <v>2</v>
      </c>
      <c r="AC256">
        <v>3</v>
      </c>
      <c r="AD256">
        <v>3</v>
      </c>
      <c r="AE256">
        <v>7596</v>
      </c>
      <c r="AF256">
        <v>3809</v>
      </c>
      <c r="AG256">
        <v>1</v>
      </c>
      <c r="AH256">
        <v>13</v>
      </c>
      <c r="AI256">
        <v>3</v>
      </c>
      <c r="AJ256">
        <v>2</v>
      </c>
      <c r="AK256">
        <v>80</v>
      </c>
      <c r="AL256">
        <v>2</v>
      </c>
      <c r="AM256">
        <v>10</v>
      </c>
      <c r="AN256">
        <v>3</v>
      </c>
      <c r="AO256">
        <v>10</v>
      </c>
      <c r="AP256">
        <v>9</v>
      </c>
      <c r="AQ256">
        <v>9</v>
      </c>
      <c r="AR256">
        <v>0</v>
      </c>
    </row>
    <row r="257" spans="1:44" x14ac:dyDescent="0.3">
      <c r="A257" t="s">
        <v>56</v>
      </c>
      <c r="B257" t="s">
        <v>45</v>
      </c>
      <c r="C257" t="s">
        <v>46</v>
      </c>
      <c r="D257" t="s">
        <v>59</v>
      </c>
      <c r="E257" t="s">
        <v>60</v>
      </c>
      <c r="F257" t="s">
        <v>49</v>
      </c>
      <c r="G257" t="s">
        <v>337</v>
      </c>
      <c r="H257">
        <v>347</v>
      </c>
      <c r="I257" t="s">
        <v>51</v>
      </c>
      <c r="J257" t="s">
        <v>63</v>
      </c>
      <c r="K257" t="s">
        <v>53</v>
      </c>
      <c r="L257" t="s">
        <v>44</v>
      </c>
      <c r="M257" t="s">
        <v>54</v>
      </c>
      <c r="N257">
        <v>1</v>
      </c>
      <c r="O257">
        <v>-2</v>
      </c>
      <c r="P257">
        <v>0</v>
      </c>
      <c r="Q257">
        <v>42</v>
      </c>
      <c r="R257">
        <v>0</v>
      </c>
      <c r="T257">
        <v>0</v>
      </c>
      <c r="U257">
        <v>1</v>
      </c>
      <c r="V257">
        <v>916</v>
      </c>
      <c r="W257">
        <v>17</v>
      </c>
      <c r="X257" t="s">
        <v>55</v>
      </c>
      <c r="Y257">
        <v>1</v>
      </c>
      <c r="Z257">
        <v>4</v>
      </c>
      <c r="AA257">
        <v>82</v>
      </c>
      <c r="AB257">
        <v>4</v>
      </c>
      <c r="AC257">
        <v>2</v>
      </c>
      <c r="AD257">
        <v>2</v>
      </c>
      <c r="AE257">
        <v>6545</v>
      </c>
      <c r="AF257">
        <v>23016</v>
      </c>
      <c r="AG257">
        <v>3</v>
      </c>
      <c r="AH257">
        <v>13</v>
      </c>
      <c r="AI257">
        <v>3</v>
      </c>
      <c r="AJ257">
        <v>3</v>
      </c>
      <c r="AK257">
        <v>80</v>
      </c>
      <c r="AL257">
        <v>0</v>
      </c>
      <c r="AM257">
        <v>10</v>
      </c>
      <c r="AN257">
        <v>3</v>
      </c>
      <c r="AO257">
        <v>3</v>
      </c>
      <c r="AP257">
        <v>2</v>
      </c>
      <c r="AQ257">
        <v>0</v>
      </c>
      <c r="AR257">
        <v>2</v>
      </c>
    </row>
    <row r="258" spans="1:44" x14ac:dyDescent="0.3">
      <c r="A258" t="s">
        <v>56</v>
      </c>
      <c r="B258" t="s">
        <v>45</v>
      </c>
      <c r="C258" t="s">
        <v>69</v>
      </c>
      <c r="D258" t="s">
        <v>59</v>
      </c>
      <c r="E258" t="s">
        <v>48</v>
      </c>
      <c r="F258" t="s">
        <v>106</v>
      </c>
      <c r="G258" t="s">
        <v>338</v>
      </c>
      <c r="H258">
        <v>349</v>
      </c>
      <c r="I258" t="s">
        <v>62</v>
      </c>
      <c r="J258" t="s">
        <v>52</v>
      </c>
      <c r="K258" t="s">
        <v>79</v>
      </c>
      <c r="L258" t="s">
        <v>56</v>
      </c>
      <c r="M258" t="s">
        <v>54</v>
      </c>
      <c r="N258">
        <v>2</v>
      </c>
      <c r="O258">
        <v>-2</v>
      </c>
      <c r="P258">
        <v>0</v>
      </c>
      <c r="Q258">
        <v>29</v>
      </c>
      <c r="R258">
        <v>0</v>
      </c>
      <c r="T258">
        <v>0</v>
      </c>
      <c r="U258">
        <v>1</v>
      </c>
      <c r="V258">
        <v>1247</v>
      </c>
      <c r="W258">
        <v>20</v>
      </c>
      <c r="X258" t="s">
        <v>55</v>
      </c>
      <c r="Y258">
        <v>1</v>
      </c>
      <c r="Z258">
        <v>4</v>
      </c>
      <c r="AA258">
        <v>45</v>
      </c>
      <c r="AB258">
        <v>3</v>
      </c>
      <c r="AC258">
        <v>2</v>
      </c>
      <c r="AD258">
        <v>1</v>
      </c>
      <c r="AE258">
        <v>6931</v>
      </c>
      <c r="AF258">
        <v>10732</v>
      </c>
      <c r="AG258">
        <v>2</v>
      </c>
      <c r="AH258">
        <v>14</v>
      </c>
      <c r="AI258">
        <v>3</v>
      </c>
      <c r="AJ258">
        <v>4</v>
      </c>
      <c r="AK258">
        <v>80</v>
      </c>
      <c r="AL258">
        <v>1</v>
      </c>
      <c r="AM258">
        <v>10</v>
      </c>
      <c r="AN258">
        <v>3</v>
      </c>
      <c r="AO258">
        <v>3</v>
      </c>
      <c r="AP258">
        <v>2</v>
      </c>
      <c r="AQ258">
        <v>0</v>
      </c>
      <c r="AR258">
        <v>2</v>
      </c>
    </row>
    <row r="259" spans="1:44" x14ac:dyDescent="0.3">
      <c r="A259" t="s">
        <v>56</v>
      </c>
      <c r="B259" t="s">
        <v>45</v>
      </c>
      <c r="C259" t="s">
        <v>58</v>
      </c>
      <c r="D259" t="s">
        <v>59</v>
      </c>
      <c r="E259" t="s">
        <v>48</v>
      </c>
      <c r="F259" t="s">
        <v>49</v>
      </c>
      <c r="G259" t="s">
        <v>460</v>
      </c>
      <c r="H259">
        <v>500</v>
      </c>
      <c r="I259" t="s">
        <v>51</v>
      </c>
      <c r="J259" t="s">
        <v>52</v>
      </c>
      <c r="K259" t="s">
        <v>64</v>
      </c>
      <c r="L259" t="s">
        <v>56</v>
      </c>
      <c r="M259" t="s">
        <v>54</v>
      </c>
      <c r="N259">
        <v>2</v>
      </c>
      <c r="O259">
        <v>-2</v>
      </c>
      <c r="P259">
        <v>0</v>
      </c>
      <c r="Q259">
        <v>51</v>
      </c>
      <c r="R259">
        <v>0</v>
      </c>
      <c r="T259">
        <v>0</v>
      </c>
      <c r="U259">
        <v>1</v>
      </c>
      <c r="V259">
        <v>1178</v>
      </c>
      <c r="W259">
        <v>14</v>
      </c>
      <c r="X259" t="s">
        <v>55</v>
      </c>
      <c r="Y259">
        <v>1</v>
      </c>
      <c r="Z259">
        <v>3</v>
      </c>
      <c r="AA259">
        <v>87</v>
      </c>
      <c r="AB259">
        <v>3</v>
      </c>
      <c r="AC259">
        <v>2</v>
      </c>
      <c r="AD259">
        <v>2</v>
      </c>
      <c r="AE259">
        <v>4936</v>
      </c>
      <c r="AF259">
        <v>14862</v>
      </c>
      <c r="AG259">
        <v>4</v>
      </c>
      <c r="AH259">
        <v>11</v>
      </c>
      <c r="AI259">
        <v>3</v>
      </c>
      <c r="AJ259">
        <v>3</v>
      </c>
      <c r="AK259">
        <v>80</v>
      </c>
      <c r="AL259">
        <v>1</v>
      </c>
      <c r="AM259">
        <v>18</v>
      </c>
      <c r="AN259">
        <v>2</v>
      </c>
      <c r="AO259">
        <v>7</v>
      </c>
      <c r="AP259">
        <v>7</v>
      </c>
      <c r="AQ259">
        <v>0</v>
      </c>
      <c r="AR259">
        <v>7</v>
      </c>
    </row>
    <row r="260" spans="1:44" x14ac:dyDescent="0.3">
      <c r="A260" t="s">
        <v>56</v>
      </c>
      <c r="B260" t="s">
        <v>45</v>
      </c>
      <c r="C260" t="s">
        <v>69</v>
      </c>
      <c r="D260" t="s">
        <v>59</v>
      </c>
      <c r="E260" t="s">
        <v>60</v>
      </c>
      <c r="F260" t="s">
        <v>72</v>
      </c>
      <c r="G260" t="s">
        <v>457</v>
      </c>
      <c r="H260">
        <v>497</v>
      </c>
      <c r="I260" t="s">
        <v>62</v>
      </c>
      <c r="J260" t="s">
        <v>68</v>
      </c>
      <c r="K260" t="s">
        <v>79</v>
      </c>
      <c r="L260" t="s">
        <v>56</v>
      </c>
      <c r="M260" t="s">
        <v>54</v>
      </c>
      <c r="N260">
        <v>2</v>
      </c>
      <c r="O260">
        <v>-2</v>
      </c>
      <c r="P260">
        <v>0</v>
      </c>
      <c r="Q260">
        <v>27</v>
      </c>
      <c r="R260">
        <v>0</v>
      </c>
      <c r="T260">
        <v>0</v>
      </c>
      <c r="U260">
        <v>1</v>
      </c>
      <c r="V260">
        <v>1469</v>
      </c>
      <c r="W260">
        <v>1</v>
      </c>
      <c r="X260" t="s">
        <v>55</v>
      </c>
      <c r="Y260">
        <v>1</v>
      </c>
      <c r="Z260">
        <v>4</v>
      </c>
      <c r="AA260">
        <v>82</v>
      </c>
      <c r="AB260">
        <v>3</v>
      </c>
      <c r="AC260">
        <v>1</v>
      </c>
      <c r="AD260">
        <v>3</v>
      </c>
      <c r="AE260">
        <v>3816</v>
      </c>
      <c r="AF260">
        <v>17881</v>
      </c>
      <c r="AG260">
        <v>1</v>
      </c>
      <c r="AH260">
        <v>11</v>
      </c>
      <c r="AI260">
        <v>3</v>
      </c>
      <c r="AJ260">
        <v>2</v>
      </c>
      <c r="AK260">
        <v>80</v>
      </c>
      <c r="AL260">
        <v>1</v>
      </c>
      <c r="AM260">
        <v>5</v>
      </c>
      <c r="AN260">
        <v>3</v>
      </c>
      <c r="AO260">
        <v>5</v>
      </c>
      <c r="AP260">
        <v>2</v>
      </c>
      <c r="AQ260">
        <v>0</v>
      </c>
      <c r="AR260">
        <v>4</v>
      </c>
    </row>
    <row r="261" spans="1:44" x14ac:dyDescent="0.3">
      <c r="A261" t="s">
        <v>56</v>
      </c>
      <c r="B261" t="s">
        <v>45</v>
      </c>
      <c r="C261" t="s">
        <v>46</v>
      </c>
      <c r="D261" t="s">
        <v>59</v>
      </c>
      <c r="E261" t="s">
        <v>60</v>
      </c>
      <c r="F261" t="s">
        <v>72</v>
      </c>
      <c r="G261" t="s">
        <v>341</v>
      </c>
      <c r="H261">
        <v>352</v>
      </c>
      <c r="I261" t="s">
        <v>62</v>
      </c>
      <c r="J261" t="s">
        <v>101</v>
      </c>
      <c r="K261" t="s">
        <v>79</v>
      </c>
      <c r="L261" t="s">
        <v>56</v>
      </c>
      <c r="M261" t="s">
        <v>54</v>
      </c>
      <c r="N261">
        <v>5</v>
      </c>
      <c r="O261">
        <v>-2</v>
      </c>
      <c r="P261">
        <v>0</v>
      </c>
      <c r="Q261">
        <v>40</v>
      </c>
      <c r="R261">
        <v>0</v>
      </c>
      <c r="T261">
        <v>0</v>
      </c>
      <c r="U261">
        <v>1</v>
      </c>
      <c r="V261">
        <v>1416</v>
      </c>
      <c r="W261">
        <v>2</v>
      </c>
      <c r="X261" t="s">
        <v>55</v>
      </c>
      <c r="Y261">
        <v>1</v>
      </c>
      <c r="Z261">
        <v>1</v>
      </c>
      <c r="AA261">
        <v>49</v>
      </c>
      <c r="AB261">
        <v>3</v>
      </c>
      <c r="AC261">
        <v>5</v>
      </c>
      <c r="AD261">
        <v>3</v>
      </c>
      <c r="AE261">
        <v>19436</v>
      </c>
      <c r="AF261">
        <v>5949</v>
      </c>
      <c r="AG261">
        <v>0</v>
      </c>
      <c r="AH261">
        <v>19</v>
      </c>
      <c r="AI261">
        <v>3</v>
      </c>
      <c r="AJ261">
        <v>4</v>
      </c>
      <c r="AK261">
        <v>80</v>
      </c>
      <c r="AL261">
        <v>1</v>
      </c>
      <c r="AM261">
        <v>22</v>
      </c>
      <c r="AN261">
        <v>3</v>
      </c>
      <c r="AO261">
        <v>21</v>
      </c>
      <c r="AP261">
        <v>7</v>
      </c>
      <c r="AQ261">
        <v>3</v>
      </c>
      <c r="AR261">
        <v>9</v>
      </c>
    </row>
    <row r="262" spans="1:44" x14ac:dyDescent="0.3">
      <c r="A262" t="s">
        <v>44</v>
      </c>
      <c r="B262" t="s">
        <v>45</v>
      </c>
      <c r="C262" t="s">
        <v>46</v>
      </c>
      <c r="D262" t="s">
        <v>47</v>
      </c>
      <c r="E262" t="s">
        <v>48</v>
      </c>
      <c r="F262" t="s">
        <v>106</v>
      </c>
      <c r="G262" t="s">
        <v>452</v>
      </c>
      <c r="H262">
        <v>492</v>
      </c>
      <c r="I262" t="s">
        <v>62</v>
      </c>
      <c r="J262" t="s">
        <v>52</v>
      </c>
      <c r="K262" t="s">
        <v>64</v>
      </c>
      <c r="L262" t="s">
        <v>44</v>
      </c>
      <c r="M262" t="s">
        <v>54</v>
      </c>
      <c r="N262">
        <v>6</v>
      </c>
      <c r="O262">
        <v>-2</v>
      </c>
      <c r="P262">
        <v>0</v>
      </c>
      <c r="Q262">
        <v>40</v>
      </c>
      <c r="R262">
        <v>1</v>
      </c>
      <c r="S262">
        <v>1</v>
      </c>
      <c r="T262">
        <v>1</v>
      </c>
      <c r="U262">
        <v>0</v>
      </c>
      <c r="V262">
        <v>575</v>
      </c>
      <c r="W262">
        <v>22</v>
      </c>
      <c r="X262" t="s">
        <v>55</v>
      </c>
      <c r="Y262">
        <v>1</v>
      </c>
      <c r="Z262">
        <v>3</v>
      </c>
      <c r="AA262">
        <v>68</v>
      </c>
      <c r="AB262">
        <v>2</v>
      </c>
      <c r="AC262">
        <v>2</v>
      </c>
      <c r="AD262">
        <v>1</v>
      </c>
      <c r="AE262">
        <v>6380</v>
      </c>
      <c r="AF262">
        <v>6110</v>
      </c>
      <c r="AG262">
        <v>2</v>
      </c>
      <c r="AH262">
        <v>12</v>
      </c>
      <c r="AI262">
        <v>3</v>
      </c>
      <c r="AJ262">
        <v>1</v>
      </c>
      <c r="AK262">
        <v>80</v>
      </c>
      <c r="AL262">
        <v>2</v>
      </c>
      <c r="AM262">
        <v>8</v>
      </c>
      <c r="AN262">
        <v>3</v>
      </c>
      <c r="AO262">
        <v>6</v>
      </c>
      <c r="AP262">
        <v>4</v>
      </c>
      <c r="AQ262">
        <v>1</v>
      </c>
      <c r="AR262">
        <v>0</v>
      </c>
    </row>
    <row r="263" spans="1:44" x14ac:dyDescent="0.3">
      <c r="A263" t="s">
        <v>44</v>
      </c>
      <c r="B263" t="s">
        <v>57</v>
      </c>
      <c r="C263" t="s">
        <v>69</v>
      </c>
      <c r="D263" t="s">
        <v>47</v>
      </c>
      <c r="E263" t="s">
        <v>60</v>
      </c>
      <c r="F263" t="s">
        <v>72</v>
      </c>
      <c r="G263" t="s">
        <v>343</v>
      </c>
      <c r="H263">
        <v>355</v>
      </c>
      <c r="I263" t="s">
        <v>62</v>
      </c>
      <c r="J263" t="s">
        <v>68</v>
      </c>
      <c r="K263" t="s">
        <v>53</v>
      </c>
      <c r="L263" t="s">
        <v>56</v>
      </c>
      <c r="M263" t="s">
        <v>54</v>
      </c>
      <c r="N263">
        <v>2</v>
      </c>
      <c r="O263">
        <v>-2</v>
      </c>
      <c r="P263">
        <v>0</v>
      </c>
      <c r="Q263">
        <v>31</v>
      </c>
      <c r="R263">
        <v>1</v>
      </c>
      <c r="S263">
        <v>1</v>
      </c>
      <c r="T263">
        <v>1</v>
      </c>
      <c r="U263">
        <v>0</v>
      </c>
      <c r="V263">
        <v>307</v>
      </c>
      <c r="W263">
        <v>29</v>
      </c>
      <c r="X263" t="s">
        <v>55</v>
      </c>
      <c r="Y263">
        <v>1</v>
      </c>
      <c r="Z263">
        <v>3</v>
      </c>
      <c r="AA263">
        <v>71</v>
      </c>
      <c r="AB263">
        <v>2</v>
      </c>
      <c r="AC263">
        <v>1</v>
      </c>
      <c r="AD263">
        <v>3</v>
      </c>
      <c r="AE263">
        <v>3479</v>
      </c>
      <c r="AF263">
        <v>11652</v>
      </c>
      <c r="AG263">
        <v>0</v>
      </c>
      <c r="AH263">
        <v>11</v>
      </c>
      <c r="AI263">
        <v>3</v>
      </c>
      <c r="AJ263">
        <v>2</v>
      </c>
      <c r="AK263">
        <v>80</v>
      </c>
      <c r="AL263">
        <v>0</v>
      </c>
      <c r="AM263">
        <v>6</v>
      </c>
      <c r="AN263">
        <v>4</v>
      </c>
      <c r="AO263">
        <v>5</v>
      </c>
      <c r="AP263">
        <v>4</v>
      </c>
      <c r="AQ263">
        <v>1</v>
      </c>
      <c r="AR263">
        <v>4</v>
      </c>
    </row>
    <row r="264" spans="1:44" x14ac:dyDescent="0.3">
      <c r="A264" t="s">
        <v>56</v>
      </c>
      <c r="B264" t="s">
        <v>91</v>
      </c>
      <c r="C264" t="s">
        <v>92</v>
      </c>
      <c r="D264" t="s">
        <v>59</v>
      </c>
      <c r="E264" t="s">
        <v>48</v>
      </c>
      <c r="F264" t="s">
        <v>72</v>
      </c>
      <c r="G264" t="s">
        <v>446</v>
      </c>
      <c r="H264">
        <v>484</v>
      </c>
      <c r="I264" t="s">
        <v>62</v>
      </c>
      <c r="J264" t="s">
        <v>99</v>
      </c>
      <c r="K264" t="s">
        <v>53</v>
      </c>
      <c r="L264" t="s">
        <v>56</v>
      </c>
      <c r="M264" t="s">
        <v>54</v>
      </c>
      <c r="N264">
        <v>3</v>
      </c>
      <c r="O264">
        <v>-2</v>
      </c>
      <c r="P264">
        <v>0</v>
      </c>
      <c r="Q264">
        <v>21</v>
      </c>
      <c r="R264">
        <v>0</v>
      </c>
      <c r="T264">
        <v>0</v>
      </c>
      <c r="U264">
        <v>1</v>
      </c>
      <c r="V264">
        <v>895</v>
      </c>
      <c r="W264">
        <v>9</v>
      </c>
      <c r="X264" t="s">
        <v>55</v>
      </c>
      <c r="Y264">
        <v>1</v>
      </c>
      <c r="Z264">
        <v>1</v>
      </c>
      <c r="AA264">
        <v>39</v>
      </c>
      <c r="AB264">
        <v>3</v>
      </c>
      <c r="AC264">
        <v>1</v>
      </c>
      <c r="AD264">
        <v>4</v>
      </c>
      <c r="AE264">
        <v>2610</v>
      </c>
      <c r="AF264">
        <v>2851</v>
      </c>
      <c r="AG264">
        <v>1</v>
      </c>
      <c r="AH264">
        <v>24</v>
      </c>
      <c r="AI264">
        <v>4</v>
      </c>
      <c r="AJ264">
        <v>3</v>
      </c>
      <c r="AK264">
        <v>80</v>
      </c>
      <c r="AL264">
        <v>0</v>
      </c>
      <c r="AM264">
        <v>3</v>
      </c>
      <c r="AN264">
        <v>2</v>
      </c>
      <c r="AO264">
        <v>3</v>
      </c>
      <c r="AP264">
        <v>2</v>
      </c>
      <c r="AQ264">
        <v>2</v>
      </c>
      <c r="AR264">
        <v>2</v>
      </c>
    </row>
    <row r="265" spans="1:44" x14ac:dyDescent="0.3">
      <c r="A265" t="s">
        <v>56</v>
      </c>
      <c r="B265" t="s">
        <v>91</v>
      </c>
      <c r="C265" t="s">
        <v>46</v>
      </c>
      <c r="D265" t="s">
        <v>59</v>
      </c>
      <c r="E265" t="s">
        <v>48</v>
      </c>
      <c r="F265" t="s">
        <v>49</v>
      </c>
      <c r="G265" t="s">
        <v>345</v>
      </c>
      <c r="H265">
        <v>361</v>
      </c>
      <c r="I265" t="s">
        <v>62</v>
      </c>
      <c r="J265" t="s">
        <v>52</v>
      </c>
      <c r="K265" t="s">
        <v>64</v>
      </c>
      <c r="L265" t="s">
        <v>56</v>
      </c>
      <c r="M265" t="s">
        <v>54</v>
      </c>
      <c r="N265">
        <v>0</v>
      </c>
      <c r="O265">
        <v>-2</v>
      </c>
      <c r="P265">
        <v>0</v>
      </c>
      <c r="Q265">
        <v>38</v>
      </c>
      <c r="R265">
        <v>0</v>
      </c>
      <c r="T265">
        <v>0</v>
      </c>
      <c r="U265">
        <v>1</v>
      </c>
      <c r="V265">
        <v>1327</v>
      </c>
      <c r="W265">
        <v>2</v>
      </c>
      <c r="X265" t="s">
        <v>55</v>
      </c>
      <c r="Y265">
        <v>1</v>
      </c>
      <c r="Z265">
        <v>4</v>
      </c>
      <c r="AA265">
        <v>39</v>
      </c>
      <c r="AB265">
        <v>2</v>
      </c>
      <c r="AC265">
        <v>2</v>
      </c>
      <c r="AD265">
        <v>2</v>
      </c>
      <c r="AE265">
        <v>5249</v>
      </c>
      <c r="AF265">
        <v>19682</v>
      </c>
      <c r="AG265">
        <v>3</v>
      </c>
      <c r="AH265">
        <v>18</v>
      </c>
      <c r="AI265">
        <v>3</v>
      </c>
      <c r="AJ265">
        <v>4</v>
      </c>
      <c r="AK265">
        <v>80</v>
      </c>
      <c r="AL265">
        <v>1</v>
      </c>
      <c r="AM265">
        <v>13</v>
      </c>
      <c r="AN265">
        <v>3</v>
      </c>
      <c r="AO265">
        <v>8</v>
      </c>
      <c r="AP265">
        <v>7</v>
      </c>
      <c r="AQ265">
        <v>7</v>
      </c>
      <c r="AR265">
        <v>5</v>
      </c>
    </row>
    <row r="266" spans="1:44" x14ac:dyDescent="0.3">
      <c r="A266" t="s">
        <v>56</v>
      </c>
      <c r="B266" t="s">
        <v>91</v>
      </c>
      <c r="C266" t="s">
        <v>69</v>
      </c>
      <c r="D266" t="s">
        <v>59</v>
      </c>
      <c r="E266" t="s">
        <v>48</v>
      </c>
      <c r="F266" t="s">
        <v>113</v>
      </c>
      <c r="G266" t="s">
        <v>438</v>
      </c>
      <c r="H266">
        <v>475</v>
      </c>
      <c r="I266" t="s">
        <v>51</v>
      </c>
      <c r="J266" t="s">
        <v>52</v>
      </c>
      <c r="K266" t="s">
        <v>64</v>
      </c>
      <c r="L266" t="s">
        <v>44</v>
      </c>
      <c r="M266" t="s">
        <v>54</v>
      </c>
      <c r="N266">
        <v>2</v>
      </c>
      <c r="O266">
        <v>-2</v>
      </c>
      <c r="P266">
        <v>0</v>
      </c>
      <c r="Q266">
        <v>30</v>
      </c>
      <c r="R266">
        <v>0</v>
      </c>
      <c r="T266">
        <v>0</v>
      </c>
      <c r="U266">
        <v>1</v>
      </c>
      <c r="V266">
        <v>641</v>
      </c>
      <c r="W266">
        <v>25</v>
      </c>
      <c r="X266" t="s">
        <v>55</v>
      </c>
      <c r="Y266">
        <v>1</v>
      </c>
      <c r="Z266">
        <v>4</v>
      </c>
      <c r="AA266">
        <v>85</v>
      </c>
      <c r="AB266">
        <v>3</v>
      </c>
      <c r="AC266">
        <v>2</v>
      </c>
      <c r="AD266">
        <v>4</v>
      </c>
      <c r="AE266">
        <v>4736</v>
      </c>
      <c r="AF266">
        <v>6069</v>
      </c>
      <c r="AG266">
        <v>7</v>
      </c>
      <c r="AH266">
        <v>12</v>
      </c>
      <c r="AI266">
        <v>3</v>
      </c>
      <c r="AJ266">
        <v>2</v>
      </c>
      <c r="AK266">
        <v>80</v>
      </c>
      <c r="AL266">
        <v>1</v>
      </c>
      <c r="AM266">
        <v>4</v>
      </c>
      <c r="AN266">
        <v>4</v>
      </c>
      <c r="AO266">
        <v>2</v>
      </c>
      <c r="AP266">
        <v>2</v>
      </c>
      <c r="AQ266">
        <v>2</v>
      </c>
      <c r="AR266">
        <v>2</v>
      </c>
    </row>
    <row r="267" spans="1:44" x14ac:dyDescent="0.3">
      <c r="A267" t="s">
        <v>56</v>
      </c>
      <c r="B267" t="s">
        <v>45</v>
      </c>
      <c r="C267" t="s">
        <v>46</v>
      </c>
      <c r="D267" t="s">
        <v>59</v>
      </c>
      <c r="E267" t="s">
        <v>60</v>
      </c>
      <c r="F267" t="s">
        <v>49</v>
      </c>
      <c r="G267" t="s">
        <v>425</v>
      </c>
      <c r="H267">
        <v>461</v>
      </c>
      <c r="I267" t="s">
        <v>62</v>
      </c>
      <c r="J267" t="s">
        <v>101</v>
      </c>
      <c r="K267" t="s">
        <v>79</v>
      </c>
      <c r="L267" t="s">
        <v>44</v>
      </c>
      <c r="M267" t="s">
        <v>54</v>
      </c>
      <c r="N267">
        <v>3</v>
      </c>
      <c r="O267">
        <v>-2</v>
      </c>
      <c r="P267">
        <v>0</v>
      </c>
      <c r="Q267">
        <v>38</v>
      </c>
      <c r="R267">
        <v>0</v>
      </c>
      <c r="T267">
        <v>0</v>
      </c>
      <c r="U267">
        <v>1</v>
      </c>
      <c r="V267">
        <v>343</v>
      </c>
      <c r="W267">
        <v>15</v>
      </c>
      <c r="X267" t="s">
        <v>55</v>
      </c>
      <c r="Y267">
        <v>1</v>
      </c>
      <c r="Z267">
        <v>3</v>
      </c>
      <c r="AA267">
        <v>92</v>
      </c>
      <c r="AB267">
        <v>2</v>
      </c>
      <c r="AC267">
        <v>3</v>
      </c>
      <c r="AD267">
        <v>2</v>
      </c>
      <c r="AE267">
        <v>11510</v>
      </c>
      <c r="AF267">
        <v>15682</v>
      </c>
      <c r="AG267">
        <v>0</v>
      </c>
      <c r="AH267">
        <v>14</v>
      </c>
      <c r="AI267">
        <v>3</v>
      </c>
      <c r="AJ267">
        <v>2</v>
      </c>
      <c r="AK267">
        <v>80</v>
      </c>
      <c r="AL267">
        <v>1</v>
      </c>
      <c r="AM267">
        <v>12</v>
      </c>
      <c r="AN267">
        <v>3</v>
      </c>
      <c r="AO267">
        <v>11</v>
      </c>
      <c r="AP267">
        <v>10</v>
      </c>
      <c r="AQ267">
        <v>2</v>
      </c>
      <c r="AR267">
        <v>9</v>
      </c>
    </row>
    <row r="268" spans="1:44" x14ac:dyDescent="0.3">
      <c r="A268" t="s">
        <v>56</v>
      </c>
      <c r="B268" t="s">
        <v>45</v>
      </c>
      <c r="C268" t="s">
        <v>46</v>
      </c>
      <c r="D268" t="s">
        <v>59</v>
      </c>
      <c r="E268" t="s">
        <v>60</v>
      </c>
      <c r="F268" t="s">
        <v>72</v>
      </c>
      <c r="G268" t="s">
        <v>424</v>
      </c>
      <c r="H268">
        <v>460</v>
      </c>
      <c r="I268" t="s">
        <v>62</v>
      </c>
      <c r="J268" t="s">
        <v>81</v>
      </c>
      <c r="K268" t="s">
        <v>79</v>
      </c>
      <c r="L268" t="s">
        <v>56</v>
      </c>
      <c r="M268" t="s">
        <v>54</v>
      </c>
      <c r="N268">
        <v>2</v>
      </c>
      <c r="O268">
        <v>-2</v>
      </c>
      <c r="P268">
        <v>0</v>
      </c>
      <c r="Q268">
        <v>37</v>
      </c>
      <c r="R268">
        <v>0</v>
      </c>
      <c r="T268">
        <v>0</v>
      </c>
      <c r="U268">
        <v>1</v>
      </c>
      <c r="V268">
        <v>1192</v>
      </c>
      <c r="W268">
        <v>5</v>
      </c>
      <c r="X268" t="s">
        <v>55</v>
      </c>
      <c r="Y268">
        <v>1</v>
      </c>
      <c r="Z268">
        <v>4</v>
      </c>
      <c r="AA268">
        <v>61</v>
      </c>
      <c r="AB268">
        <v>3</v>
      </c>
      <c r="AC268">
        <v>2</v>
      </c>
      <c r="AD268">
        <v>4</v>
      </c>
      <c r="AE268">
        <v>6347</v>
      </c>
      <c r="AF268">
        <v>23177</v>
      </c>
      <c r="AG268">
        <v>7</v>
      </c>
      <c r="AH268">
        <v>16</v>
      </c>
      <c r="AI268">
        <v>3</v>
      </c>
      <c r="AJ268">
        <v>3</v>
      </c>
      <c r="AK268">
        <v>80</v>
      </c>
      <c r="AL268">
        <v>2</v>
      </c>
      <c r="AM268">
        <v>8</v>
      </c>
      <c r="AN268">
        <v>2</v>
      </c>
      <c r="AO268">
        <v>6</v>
      </c>
      <c r="AP268">
        <v>2</v>
      </c>
      <c r="AQ268">
        <v>0</v>
      </c>
      <c r="AR268">
        <v>4</v>
      </c>
    </row>
    <row r="269" spans="1:44" x14ac:dyDescent="0.3">
      <c r="A269" t="s">
        <v>56</v>
      </c>
      <c r="B269" t="s">
        <v>45</v>
      </c>
      <c r="C269" t="s">
        <v>46</v>
      </c>
      <c r="D269" t="s">
        <v>59</v>
      </c>
      <c r="E269" t="s">
        <v>48</v>
      </c>
      <c r="F269" t="s">
        <v>72</v>
      </c>
      <c r="G269" t="s">
        <v>419</v>
      </c>
      <c r="H269">
        <v>453</v>
      </c>
      <c r="I269" t="s">
        <v>62</v>
      </c>
      <c r="J269" t="s">
        <v>52</v>
      </c>
      <c r="K269" t="s">
        <v>64</v>
      </c>
      <c r="L269" t="s">
        <v>44</v>
      </c>
      <c r="M269" t="s">
        <v>54</v>
      </c>
      <c r="N269">
        <v>2</v>
      </c>
      <c r="O269">
        <v>-2</v>
      </c>
      <c r="P269">
        <v>0</v>
      </c>
      <c r="Q269">
        <v>40</v>
      </c>
      <c r="R269">
        <v>0</v>
      </c>
      <c r="T269">
        <v>0</v>
      </c>
      <c r="U269">
        <v>1</v>
      </c>
      <c r="V269">
        <v>1124</v>
      </c>
      <c r="W269">
        <v>1</v>
      </c>
      <c r="X269" t="s">
        <v>55</v>
      </c>
      <c r="Y269">
        <v>1</v>
      </c>
      <c r="Z269">
        <v>2</v>
      </c>
      <c r="AA269">
        <v>57</v>
      </c>
      <c r="AB269">
        <v>1</v>
      </c>
      <c r="AC269">
        <v>2</v>
      </c>
      <c r="AD269">
        <v>4</v>
      </c>
      <c r="AE269">
        <v>7457</v>
      </c>
      <c r="AF269">
        <v>13273</v>
      </c>
      <c r="AG269">
        <v>2</v>
      </c>
      <c r="AH269">
        <v>22</v>
      </c>
      <c r="AI269">
        <v>4</v>
      </c>
      <c r="AJ269">
        <v>3</v>
      </c>
      <c r="AK269">
        <v>80</v>
      </c>
      <c r="AL269">
        <v>3</v>
      </c>
      <c r="AM269">
        <v>6</v>
      </c>
      <c r="AN269">
        <v>2</v>
      </c>
      <c r="AO269">
        <v>4</v>
      </c>
      <c r="AP269">
        <v>3</v>
      </c>
      <c r="AQ269">
        <v>0</v>
      </c>
      <c r="AR269">
        <v>2</v>
      </c>
    </row>
    <row r="270" spans="1:44" x14ac:dyDescent="0.3">
      <c r="A270" t="s">
        <v>44</v>
      </c>
      <c r="B270" t="s">
        <v>45</v>
      </c>
      <c r="C270" t="s">
        <v>46</v>
      </c>
      <c r="D270" t="s">
        <v>47</v>
      </c>
      <c r="E270" t="s">
        <v>48</v>
      </c>
      <c r="F270" t="s">
        <v>72</v>
      </c>
      <c r="G270" t="s">
        <v>411</v>
      </c>
      <c r="H270">
        <v>445</v>
      </c>
      <c r="I270" t="s">
        <v>51</v>
      </c>
      <c r="J270" t="s">
        <v>52</v>
      </c>
      <c r="K270" t="s">
        <v>64</v>
      </c>
      <c r="L270" t="s">
        <v>44</v>
      </c>
      <c r="M270" t="s">
        <v>54</v>
      </c>
      <c r="N270">
        <v>3</v>
      </c>
      <c r="O270">
        <v>-2</v>
      </c>
      <c r="P270">
        <v>0</v>
      </c>
      <c r="Q270">
        <v>39</v>
      </c>
      <c r="R270">
        <v>1</v>
      </c>
      <c r="S270">
        <v>1</v>
      </c>
      <c r="T270">
        <v>1</v>
      </c>
      <c r="U270">
        <v>0</v>
      </c>
      <c r="V270">
        <v>1162</v>
      </c>
      <c r="W270">
        <v>3</v>
      </c>
      <c r="X270" t="s">
        <v>55</v>
      </c>
      <c r="Y270">
        <v>1</v>
      </c>
      <c r="Z270">
        <v>4</v>
      </c>
      <c r="AA270">
        <v>41</v>
      </c>
      <c r="AB270">
        <v>3</v>
      </c>
      <c r="AC270">
        <v>2</v>
      </c>
      <c r="AD270">
        <v>3</v>
      </c>
      <c r="AE270">
        <v>5238</v>
      </c>
      <c r="AF270">
        <v>17778</v>
      </c>
      <c r="AG270">
        <v>4</v>
      </c>
      <c r="AH270">
        <v>18</v>
      </c>
      <c r="AI270">
        <v>3</v>
      </c>
      <c r="AJ270">
        <v>1</v>
      </c>
      <c r="AK270">
        <v>80</v>
      </c>
      <c r="AL270">
        <v>0</v>
      </c>
      <c r="AM270">
        <v>12</v>
      </c>
      <c r="AN270">
        <v>2</v>
      </c>
      <c r="AO270">
        <v>1</v>
      </c>
      <c r="AP270">
        <v>0</v>
      </c>
      <c r="AQ270">
        <v>0</v>
      </c>
      <c r="AR270">
        <v>0</v>
      </c>
    </row>
    <row r="271" spans="1:44" x14ac:dyDescent="0.3">
      <c r="A271" t="s">
        <v>56</v>
      </c>
      <c r="B271" t="s">
        <v>91</v>
      </c>
      <c r="C271" t="s">
        <v>69</v>
      </c>
      <c r="D271" t="s">
        <v>59</v>
      </c>
      <c r="E271" t="s">
        <v>60</v>
      </c>
      <c r="F271" t="s">
        <v>49</v>
      </c>
      <c r="G271" t="s">
        <v>351</v>
      </c>
      <c r="H271">
        <v>369</v>
      </c>
      <c r="I271" t="s">
        <v>62</v>
      </c>
      <c r="J271" t="s">
        <v>83</v>
      </c>
      <c r="K271" t="s">
        <v>79</v>
      </c>
      <c r="L271" t="s">
        <v>56</v>
      </c>
      <c r="M271" t="s">
        <v>54</v>
      </c>
      <c r="N271">
        <v>2</v>
      </c>
      <c r="O271">
        <v>-2</v>
      </c>
      <c r="P271">
        <v>0</v>
      </c>
      <c r="Q271">
        <v>25</v>
      </c>
      <c r="R271">
        <v>0</v>
      </c>
      <c r="T271">
        <v>0</v>
      </c>
      <c r="U271">
        <v>1</v>
      </c>
      <c r="V271">
        <v>675</v>
      </c>
      <c r="W271">
        <v>5</v>
      </c>
      <c r="X271" t="s">
        <v>55</v>
      </c>
      <c r="Y271">
        <v>1</v>
      </c>
      <c r="Z271">
        <v>2</v>
      </c>
      <c r="AA271">
        <v>85</v>
      </c>
      <c r="AB271">
        <v>4</v>
      </c>
      <c r="AC271">
        <v>2</v>
      </c>
      <c r="AD271">
        <v>2</v>
      </c>
      <c r="AE271">
        <v>4000</v>
      </c>
      <c r="AF271">
        <v>18384</v>
      </c>
      <c r="AG271">
        <v>1</v>
      </c>
      <c r="AH271">
        <v>12</v>
      </c>
      <c r="AI271">
        <v>3</v>
      </c>
      <c r="AJ271">
        <v>4</v>
      </c>
      <c r="AK271">
        <v>80</v>
      </c>
      <c r="AL271">
        <v>2</v>
      </c>
      <c r="AM271">
        <v>6</v>
      </c>
      <c r="AN271">
        <v>3</v>
      </c>
      <c r="AO271">
        <v>6</v>
      </c>
      <c r="AP271">
        <v>3</v>
      </c>
      <c r="AQ271">
        <v>1</v>
      </c>
      <c r="AR271">
        <v>5</v>
      </c>
    </row>
    <row r="272" spans="1:44" x14ac:dyDescent="0.3">
      <c r="A272" t="s">
        <v>56</v>
      </c>
      <c r="B272" t="s">
        <v>45</v>
      </c>
      <c r="C272" t="s">
        <v>58</v>
      </c>
      <c r="D272" t="s">
        <v>59</v>
      </c>
      <c r="E272" t="s">
        <v>60</v>
      </c>
      <c r="F272" t="s">
        <v>72</v>
      </c>
      <c r="G272" t="s">
        <v>352</v>
      </c>
      <c r="H272">
        <v>372</v>
      </c>
      <c r="I272" t="s">
        <v>62</v>
      </c>
      <c r="J272" t="s">
        <v>83</v>
      </c>
      <c r="K272" t="s">
        <v>64</v>
      </c>
      <c r="L272" t="s">
        <v>44</v>
      </c>
      <c r="M272" t="s">
        <v>54</v>
      </c>
      <c r="N272">
        <v>2</v>
      </c>
      <c r="O272">
        <v>-2</v>
      </c>
      <c r="P272">
        <v>0</v>
      </c>
      <c r="Q272">
        <v>45</v>
      </c>
      <c r="R272">
        <v>0</v>
      </c>
      <c r="T272">
        <v>0</v>
      </c>
      <c r="U272">
        <v>1</v>
      </c>
      <c r="V272">
        <v>1385</v>
      </c>
      <c r="W272">
        <v>20</v>
      </c>
      <c r="X272" t="s">
        <v>55</v>
      </c>
      <c r="Y272">
        <v>1</v>
      </c>
      <c r="Z272">
        <v>3</v>
      </c>
      <c r="AA272">
        <v>79</v>
      </c>
      <c r="AB272">
        <v>3</v>
      </c>
      <c r="AC272">
        <v>4</v>
      </c>
      <c r="AD272">
        <v>4</v>
      </c>
      <c r="AE272">
        <v>13496</v>
      </c>
      <c r="AF272">
        <v>7501</v>
      </c>
      <c r="AG272">
        <v>0</v>
      </c>
      <c r="AH272">
        <v>14</v>
      </c>
      <c r="AI272">
        <v>3</v>
      </c>
      <c r="AJ272">
        <v>2</v>
      </c>
      <c r="AK272">
        <v>80</v>
      </c>
      <c r="AL272">
        <v>0</v>
      </c>
      <c r="AM272">
        <v>21</v>
      </c>
      <c r="AN272">
        <v>3</v>
      </c>
      <c r="AO272">
        <v>20</v>
      </c>
      <c r="AP272">
        <v>7</v>
      </c>
      <c r="AQ272">
        <v>4</v>
      </c>
      <c r="AR272">
        <v>10</v>
      </c>
    </row>
    <row r="273" spans="1:44" x14ac:dyDescent="0.3">
      <c r="A273" t="s">
        <v>56</v>
      </c>
      <c r="B273" t="s">
        <v>57</v>
      </c>
      <c r="C273" t="s">
        <v>46</v>
      </c>
      <c r="D273" t="s">
        <v>59</v>
      </c>
      <c r="E273" t="s">
        <v>60</v>
      </c>
      <c r="F273" t="s">
        <v>72</v>
      </c>
      <c r="G273" t="s">
        <v>410</v>
      </c>
      <c r="H273">
        <v>444</v>
      </c>
      <c r="I273" t="s">
        <v>62</v>
      </c>
      <c r="J273" t="s">
        <v>95</v>
      </c>
      <c r="K273" t="s">
        <v>64</v>
      </c>
      <c r="L273" t="s">
        <v>56</v>
      </c>
      <c r="M273" t="s">
        <v>54</v>
      </c>
      <c r="N273">
        <v>2</v>
      </c>
      <c r="O273">
        <v>-2</v>
      </c>
      <c r="P273">
        <v>0</v>
      </c>
      <c r="Q273">
        <v>39</v>
      </c>
      <c r="R273">
        <v>0</v>
      </c>
      <c r="T273">
        <v>0</v>
      </c>
      <c r="U273">
        <v>1</v>
      </c>
      <c r="V273">
        <v>672</v>
      </c>
      <c r="W273">
        <v>7</v>
      </c>
      <c r="X273" t="s">
        <v>55</v>
      </c>
      <c r="Y273">
        <v>1</v>
      </c>
      <c r="Z273">
        <v>3</v>
      </c>
      <c r="AA273">
        <v>54</v>
      </c>
      <c r="AB273">
        <v>2</v>
      </c>
      <c r="AC273">
        <v>5</v>
      </c>
      <c r="AD273">
        <v>4</v>
      </c>
      <c r="AE273">
        <v>19272</v>
      </c>
      <c r="AF273">
        <v>21141</v>
      </c>
      <c r="AG273">
        <v>1</v>
      </c>
      <c r="AH273">
        <v>15</v>
      </c>
      <c r="AI273">
        <v>3</v>
      </c>
      <c r="AJ273">
        <v>1</v>
      </c>
      <c r="AK273">
        <v>80</v>
      </c>
      <c r="AL273">
        <v>1</v>
      </c>
      <c r="AM273">
        <v>21</v>
      </c>
      <c r="AN273">
        <v>3</v>
      </c>
      <c r="AO273">
        <v>21</v>
      </c>
      <c r="AP273">
        <v>9</v>
      </c>
      <c r="AQ273">
        <v>13</v>
      </c>
      <c r="AR273">
        <v>3</v>
      </c>
    </row>
    <row r="274" spans="1:44" x14ac:dyDescent="0.3">
      <c r="A274" t="s">
        <v>56</v>
      </c>
      <c r="B274" t="s">
        <v>57</v>
      </c>
      <c r="C274" t="s">
        <v>69</v>
      </c>
      <c r="D274" t="s">
        <v>59</v>
      </c>
      <c r="E274" t="s">
        <v>60</v>
      </c>
      <c r="F274" t="s">
        <v>49</v>
      </c>
      <c r="G274" t="s">
        <v>409</v>
      </c>
      <c r="H274">
        <v>442</v>
      </c>
      <c r="I274" t="s">
        <v>51</v>
      </c>
      <c r="J274" t="s">
        <v>81</v>
      </c>
      <c r="K274" t="s">
        <v>64</v>
      </c>
      <c r="L274" t="s">
        <v>56</v>
      </c>
      <c r="M274" t="s">
        <v>54</v>
      </c>
      <c r="N274">
        <v>2</v>
      </c>
      <c r="O274">
        <v>-2</v>
      </c>
      <c r="P274">
        <v>0</v>
      </c>
      <c r="Q274">
        <v>31</v>
      </c>
      <c r="R274">
        <v>0</v>
      </c>
      <c r="T274">
        <v>0</v>
      </c>
      <c r="U274">
        <v>1</v>
      </c>
      <c r="V274">
        <v>798</v>
      </c>
      <c r="W274">
        <v>7</v>
      </c>
      <c r="X274" t="s">
        <v>55</v>
      </c>
      <c r="Y274">
        <v>1</v>
      </c>
      <c r="Z274">
        <v>3</v>
      </c>
      <c r="AA274">
        <v>48</v>
      </c>
      <c r="AB274">
        <v>2</v>
      </c>
      <c r="AC274">
        <v>3</v>
      </c>
      <c r="AD274">
        <v>2</v>
      </c>
      <c r="AE274">
        <v>8943</v>
      </c>
      <c r="AF274">
        <v>14034</v>
      </c>
      <c r="AG274">
        <v>1</v>
      </c>
      <c r="AH274">
        <v>24</v>
      </c>
      <c r="AI274">
        <v>4</v>
      </c>
      <c r="AJ274">
        <v>1</v>
      </c>
      <c r="AK274">
        <v>80</v>
      </c>
      <c r="AL274">
        <v>1</v>
      </c>
      <c r="AM274">
        <v>10</v>
      </c>
      <c r="AN274">
        <v>3</v>
      </c>
      <c r="AO274">
        <v>10</v>
      </c>
      <c r="AP274">
        <v>9</v>
      </c>
      <c r="AQ274">
        <v>8</v>
      </c>
      <c r="AR274">
        <v>9</v>
      </c>
    </row>
    <row r="275" spans="1:44" x14ac:dyDescent="0.3">
      <c r="A275" t="s">
        <v>56</v>
      </c>
      <c r="B275" t="s">
        <v>45</v>
      </c>
      <c r="C275" t="s">
        <v>69</v>
      </c>
      <c r="D275" t="s">
        <v>59</v>
      </c>
      <c r="E275" t="s">
        <v>60</v>
      </c>
      <c r="F275" t="s">
        <v>72</v>
      </c>
      <c r="G275" t="s">
        <v>408</v>
      </c>
      <c r="H275">
        <v>441</v>
      </c>
      <c r="I275" t="s">
        <v>51</v>
      </c>
      <c r="J275" t="s">
        <v>63</v>
      </c>
      <c r="K275" t="s">
        <v>64</v>
      </c>
      <c r="L275" t="s">
        <v>56</v>
      </c>
      <c r="M275" t="s">
        <v>54</v>
      </c>
      <c r="N275">
        <v>2</v>
      </c>
      <c r="O275">
        <v>-2</v>
      </c>
      <c r="P275">
        <v>0</v>
      </c>
      <c r="Q275">
        <v>30</v>
      </c>
      <c r="R275">
        <v>0</v>
      </c>
      <c r="T275">
        <v>0</v>
      </c>
      <c r="U275">
        <v>1</v>
      </c>
      <c r="V275">
        <v>1275</v>
      </c>
      <c r="W275">
        <v>28</v>
      </c>
      <c r="X275" t="s">
        <v>55</v>
      </c>
      <c r="Y275">
        <v>1</v>
      </c>
      <c r="Z275">
        <v>4</v>
      </c>
      <c r="AA275">
        <v>64</v>
      </c>
      <c r="AB275">
        <v>3</v>
      </c>
      <c r="AC275">
        <v>2</v>
      </c>
      <c r="AD275">
        <v>4</v>
      </c>
      <c r="AE275">
        <v>5775</v>
      </c>
      <c r="AF275">
        <v>11934</v>
      </c>
      <c r="AG275">
        <v>1</v>
      </c>
      <c r="AH275">
        <v>13</v>
      </c>
      <c r="AI275">
        <v>3</v>
      </c>
      <c r="AJ275">
        <v>4</v>
      </c>
      <c r="AK275">
        <v>80</v>
      </c>
      <c r="AL275">
        <v>2</v>
      </c>
      <c r="AM275">
        <v>11</v>
      </c>
      <c r="AN275">
        <v>3</v>
      </c>
      <c r="AO275">
        <v>10</v>
      </c>
      <c r="AP275">
        <v>8</v>
      </c>
      <c r="AQ275">
        <v>1</v>
      </c>
      <c r="AR275">
        <v>9</v>
      </c>
    </row>
    <row r="276" spans="1:44" x14ac:dyDescent="0.3">
      <c r="A276" t="s">
        <v>56</v>
      </c>
      <c r="B276" t="s">
        <v>45</v>
      </c>
      <c r="C276" t="s">
        <v>69</v>
      </c>
      <c r="D276" t="s">
        <v>59</v>
      </c>
      <c r="E276" t="s">
        <v>48</v>
      </c>
      <c r="F276" t="s">
        <v>113</v>
      </c>
      <c r="G276" t="s">
        <v>403</v>
      </c>
      <c r="H276">
        <v>436</v>
      </c>
      <c r="I276" t="s">
        <v>51</v>
      </c>
      <c r="J276" t="s">
        <v>52</v>
      </c>
      <c r="K276" t="s">
        <v>64</v>
      </c>
      <c r="L276" t="s">
        <v>44</v>
      </c>
      <c r="M276" t="s">
        <v>54</v>
      </c>
      <c r="N276">
        <v>2</v>
      </c>
      <c r="O276">
        <v>-2</v>
      </c>
      <c r="P276">
        <v>0</v>
      </c>
      <c r="Q276">
        <v>32</v>
      </c>
      <c r="R276">
        <v>0</v>
      </c>
      <c r="T276">
        <v>0</v>
      </c>
      <c r="U276">
        <v>1</v>
      </c>
      <c r="V276">
        <v>588</v>
      </c>
      <c r="W276">
        <v>8</v>
      </c>
      <c r="X276" t="s">
        <v>55</v>
      </c>
      <c r="Y276">
        <v>1</v>
      </c>
      <c r="Z276">
        <v>4</v>
      </c>
      <c r="AA276">
        <v>65</v>
      </c>
      <c r="AB276">
        <v>2</v>
      </c>
      <c r="AC276">
        <v>2</v>
      </c>
      <c r="AD276">
        <v>4</v>
      </c>
      <c r="AE276">
        <v>5228</v>
      </c>
      <c r="AF276">
        <v>24624</v>
      </c>
      <c r="AG276">
        <v>1</v>
      </c>
      <c r="AH276">
        <v>11</v>
      </c>
      <c r="AI276">
        <v>3</v>
      </c>
      <c r="AJ276">
        <v>4</v>
      </c>
      <c r="AK276">
        <v>80</v>
      </c>
      <c r="AL276">
        <v>0</v>
      </c>
      <c r="AM276">
        <v>13</v>
      </c>
      <c r="AN276">
        <v>3</v>
      </c>
      <c r="AO276">
        <v>13</v>
      </c>
      <c r="AP276">
        <v>12</v>
      </c>
      <c r="AQ276">
        <v>11</v>
      </c>
      <c r="AR276">
        <v>9</v>
      </c>
    </row>
    <row r="277" spans="1:44" x14ac:dyDescent="0.3">
      <c r="A277" t="s">
        <v>56</v>
      </c>
      <c r="B277" t="s">
        <v>45</v>
      </c>
      <c r="C277" t="s">
        <v>58</v>
      </c>
      <c r="D277" t="s">
        <v>59</v>
      </c>
      <c r="E277" t="s">
        <v>60</v>
      </c>
      <c r="F277" t="s">
        <v>113</v>
      </c>
      <c r="G277" t="s">
        <v>400</v>
      </c>
      <c r="H277">
        <v>431</v>
      </c>
      <c r="I277" t="s">
        <v>51</v>
      </c>
      <c r="J277" t="s">
        <v>83</v>
      </c>
      <c r="K277" t="s">
        <v>53</v>
      </c>
      <c r="L277" t="s">
        <v>44</v>
      </c>
      <c r="M277" t="s">
        <v>54</v>
      </c>
      <c r="N277">
        <v>2</v>
      </c>
      <c r="O277">
        <v>-2</v>
      </c>
      <c r="P277">
        <v>0</v>
      </c>
      <c r="Q277">
        <v>49</v>
      </c>
      <c r="R277">
        <v>0</v>
      </c>
      <c r="T277">
        <v>0</v>
      </c>
      <c r="U277">
        <v>1</v>
      </c>
      <c r="V277">
        <v>1091</v>
      </c>
      <c r="W277">
        <v>1</v>
      </c>
      <c r="X277" t="s">
        <v>55</v>
      </c>
      <c r="Y277">
        <v>1</v>
      </c>
      <c r="Z277">
        <v>4</v>
      </c>
      <c r="AA277">
        <v>90</v>
      </c>
      <c r="AB277">
        <v>2</v>
      </c>
      <c r="AC277">
        <v>4</v>
      </c>
      <c r="AD277">
        <v>4</v>
      </c>
      <c r="AE277">
        <v>13964</v>
      </c>
      <c r="AF277">
        <v>17810</v>
      </c>
      <c r="AG277">
        <v>7</v>
      </c>
      <c r="AH277">
        <v>12</v>
      </c>
      <c r="AI277">
        <v>3</v>
      </c>
      <c r="AJ277">
        <v>4</v>
      </c>
      <c r="AK277">
        <v>80</v>
      </c>
      <c r="AL277">
        <v>0</v>
      </c>
      <c r="AM277">
        <v>25</v>
      </c>
      <c r="AN277">
        <v>3</v>
      </c>
      <c r="AO277">
        <v>7</v>
      </c>
      <c r="AP277">
        <v>1</v>
      </c>
      <c r="AQ277">
        <v>0</v>
      </c>
      <c r="AR277">
        <v>7</v>
      </c>
    </row>
    <row r="278" spans="1:44" x14ac:dyDescent="0.3">
      <c r="A278" t="s">
        <v>56</v>
      </c>
      <c r="B278" t="s">
        <v>45</v>
      </c>
      <c r="C278" t="s">
        <v>92</v>
      </c>
      <c r="D278" t="s">
        <v>59</v>
      </c>
      <c r="E278" t="s">
        <v>60</v>
      </c>
      <c r="F278" t="s">
        <v>72</v>
      </c>
      <c r="G278" t="s">
        <v>358</v>
      </c>
      <c r="H278">
        <v>379</v>
      </c>
      <c r="I278" t="s">
        <v>62</v>
      </c>
      <c r="J278" t="s">
        <v>63</v>
      </c>
      <c r="K278" t="s">
        <v>53</v>
      </c>
      <c r="L278" t="s">
        <v>56</v>
      </c>
      <c r="M278" t="s">
        <v>54</v>
      </c>
      <c r="N278">
        <v>4</v>
      </c>
      <c r="O278">
        <v>-2</v>
      </c>
      <c r="P278">
        <v>0</v>
      </c>
      <c r="Q278">
        <v>21</v>
      </c>
      <c r="R278">
        <v>0</v>
      </c>
      <c r="T278">
        <v>0</v>
      </c>
      <c r="U278">
        <v>1</v>
      </c>
      <c r="V278">
        <v>996</v>
      </c>
      <c r="W278">
        <v>3</v>
      </c>
      <c r="X278" t="s">
        <v>55</v>
      </c>
      <c r="Y278">
        <v>1</v>
      </c>
      <c r="Z278">
        <v>4</v>
      </c>
      <c r="AA278">
        <v>100</v>
      </c>
      <c r="AB278">
        <v>2</v>
      </c>
      <c r="AC278">
        <v>1</v>
      </c>
      <c r="AD278">
        <v>3</v>
      </c>
      <c r="AE278">
        <v>3230</v>
      </c>
      <c r="AF278">
        <v>10531</v>
      </c>
      <c r="AG278">
        <v>1</v>
      </c>
      <c r="AH278">
        <v>17</v>
      </c>
      <c r="AI278">
        <v>3</v>
      </c>
      <c r="AJ278">
        <v>1</v>
      </c>
      <c r="AK278">
        <v>80</v>
      </c>
      <c r="AL278">
        <v>0</v>
      </c>
      <c r="AM278">
        <v>3</v>
      </c>
      <c r="AN278">
        <v>4</v>
      </c>
      <c r="AO278">
        <v>3</v>
      </c>
      <c r="AP278">
        <v>2</v>
      </c>
      <c r="AQ278">
        <v>1</v>
      </c>
      <c r="AR278">
        <v>0</v>
      </c>
    </row>
    <row r="279" spans="1:44" x14ac:dyDescent="0.3">
      <c r="A279" t="s">
        <v>56</v>
      </c>
      <c r="B279" t="s">
        <v>45</v>
      </c>
      <c r="C279" t="s">
        <v>46</v>
      </c>
      <c r="D279" t="s">
        <v>59</v>
      </c>
      <c r="E279" t="s">
        <v>60</v>
      </c>
      <c r="F279" t="s">
        <v>49</v>
      </c>
      <c r="G279" t="s">
        <v>391</v>
      </c>
      <c r="H279">
        <v>421</v>
      </c>
      <c r="I279" t="s">
        <v>51</v>
      </c>
      <c r="J279" t="s">
        <v>101</v>
      </c>
      <c r="K279" t="s">
        <v>64</v>
      </c>
      <c r="L279" t="s">
        <v>56</v>
      </c>
      <c r="M279" t="s">
        <v>54</v>
      </c>
      <c r="N279">
        <v>2</v>
      </c>
      <c r="O279">
        <v>-2</v>
      </c>
      <c r="P279">
        <v>0</v>
      </c>
      <c r="Q279">
        <v>38</v>
      </c>
      <c r="R279">
        <v>0</v>
      </c>
      <c r="T279">
        <v>0</v>
      </c>
      <c r="U279">
        <v>1</v>
      </c>
      <c r="V279">
        <v>849</v>
      </c>
      <c r="W279">
        <v>25</v>
      </c>
      <c r="X279" t="s">
        <v>55</v>
      </c>
      <c r="Y279">
        <v>1</v>
      </c>
      <c r="Z279">
        <v>1</v>
      </c>
      <c r="AA279">
        <v>81</v>
      </c>
      <c r="AB279">
        <v>2</v>
      </c>
      <c r="AC279">
        <v>3</v>
      </c>
      <c r="AD279">
        <v>2</v>
      </c>
      <c r="AE279">
        <v>12061</v>
      </c>
      <c r="AF279">
        <v>26707</v>
      </c>
      <c r="AG279">
        <v>3</v>
      </c>
      <c r="AH279">
        <v>17</v>
      </c>
      <c r="AI279">
        <v>3</v>
      </c>
      <c r="AJ279">
        <v>3</v>
      </c>
      <c r="AK279">
        <v>80</v>
      </c>
      <c r="AL279">
        <v>1</v>
      </c>
      <c r="AM279">
        <v>19</v>
      </c>
      <c r="AN279">
        <v>3</v>
      </c>
      <c r="AO279">
        <v>10</v>
      </c>
      <c r="AP279">
        <v>8</v>
      </c>
      <c r="AQ279">
        <v>0</v>
      </c>
      <c r="AR279">
        <v>1</v>
      </c>
    </row>
    <row r="280" spans="1:44" x14ac:dyDescent="0.3">
      <c r="A280" t="s">
        <v>56</v>
      </c>
      <c r="B280" t="s">
        <v>45</v>
      </c>
      <c r="C280" t="s">
        <v>69</v>
      </c>
      <c r="D280" t="s">
        <v>59</v>
      </c>
      <c r="E280" t="s">
        <v>60</v>
      </c>
      <c r="F280" t="s">
        <v>72</v>
      </c>
      <c r="G280" t="s">
        <v>386</v>
      </c>
      <c r="H280">
        <v>412</v>
      </c>
      <c r="I280" t="s">
        <v>62</v>
      </c>
      <c r="J280" t="s">
        <v>83</v>
      </c>
      <c r="K280" t="s">
        <v>53</v>
      </c>
      <c r="L280" t="s">
        <v>56</v>
      </c>
      <c r="M280" t="s">
        <v>54</v>
      </c>
      <c r="N280">
        <v>2</v>
      </c>
      <c r="O280">
        <v>-2</v>
      </c>
      <c r="P280">
        <v>0</v>
      </c>
      <c r="Q280">
        <v>28</v>
      </c>
      <c r="R280">
        <v>0</v>
      </c>
      <c r="T280">
        <v>0</v>
      </c>
      <c r="U280">
        <v>1</v>
      </c>
      <c r="V280">
        <v>1476</v>
      </c>
      <c r="W280">
        <v>16</v>
      </c>
      <c r="X280" t="s">
        <v>55</v>
      </c>
      <c r="Y280">
        <v>1</v>
      </c>
      <c r="Z280">
        <v>2</v>
      </c>
      <c r="AA280">
        <v>68</v>
      </c>
      <c r="AB280">
        <v>4</v>
      </c>
      <c r="AC280">
        <v>2</v>
      </c>
      <c r="AD280">
        <v>3</v>
      </c>
      <c r="AE280">
        <v>5661</v>
      </c>
      <c r="AF280">
        <v>4824</v>
      </c>
      <c r="AG280">
        <v>0</v>
      </c>
      <c r="AH280">
        <v>19</v>
      </c>
      <c r="AI280">
        <v>3</v>
      </c>
      <c r="AJ280">
        <v>3</v>
      </c>
      <c r="AK280">
        <v>80</v>
      </c>
      <c r="AL280">
        <v>0</v>
      </c>
      <c r="AM280">
        <v>9</v>
      </c>
      <c r="AN280">
        <v>3</v>
      </c>
      <c r="AO280">
        <v>8</v>
      </c>
      <c r="AP280">
        <v>3</v>
      </c>
      <c r="AQ280">
        <v>0</v>
      </c>
      <c r="AR280">
        <v>7</v>
      </c>
    </row>
    <row r="281" spans="1:44" x14ac:dyDescent="0.3">
      <c r="A281" t="s">
        <v>56</v>
      </c>
      <c r="B281" t="s">
        <v>45</v>
      </c>
      <c r="C281" t="s">
        <v>46</v>
      </c>
      <c r="D281" t="s">
        <v>59</v>
      </c>
      <c r="E281" t="s">
        <v>48</v>
      </c>
      <c r="F281" t="s">
        <v>72</v>
      </c>
      <c r="G281" t="s">
        <v>361</v>
      </c>
      <c r="H281">
        <v>382</v>
      </c>
      <c r="I281" t="s">
        <v>51</v>
      </c>
      <c r="J281" t="s">
        <v>52</v>
      </c>
      <c r="K281" t="s">
        <v>79</v>
      </c>
      <c r="L281" t="s">
        <v>44</v>
      </c>
      <c r="M281" t="s">
        <v>54</v>
      </c>
      <c r="N281">
        <v>3</v>
      </c>
      <c r="O281">
        <v>-2</v>
      </c>
      <c r="P281">
        <v>0</v>
      </c>
      <c r="Q281">
        <v>38</v>
      </c>
      <c r="R281">
        <v>0</v>
      </c>
      <c r="T281">
        <v>0</v>
      </c>
      <c r="U281">
        <v>1</v>
      </c>
      <c r="V281">
        <v>322</v>
      </c>
      <c r="W281">
        <v>7</v>
      </c>
      <c r="X281" t="s">
        <v>55</v>
      </c>
      <c r="Y281">
        <v>1</v>
      </c>
      <c r="Z281">
        <v>1</v>
      </c>
      <c r="AA281">
        <v>44</v>
      </c>
      <c r="AB281">
        <v>4</v>
      </c>
      <c r="AC281">
        <v>2</v>
      </c>
      <c r="AD281">
        <v>3</v>
      </c>
      <c r="AE281">
        <v>5605</v>
      </c>
      <c r="AF281">
        <v>19191</v>
      </c>
      <c r="AG281">
        <v>1</v>
      </c>
      <c r="AH281">
        <v>24</v>
      </c>
      <c r="AI281">
        <v>4</v>
      </c>
      <c r="AJ281">
        <v>3</v>
      </c>
      <c r="AK281">
        <v>80</v>
      </c>
      <c r="AL281">
        <v>1</v>
      </c>
      <c r="AM281">
        <v>8</v>
      </c>
      <c r="AN281">
        <v>3</v>
      </c>
      <c r="AO281">
        <v>8</v>
      </c>
      <c r="AP281">
        <v>0</v>
      </c>
      <c r="AQ281">
        <v>7</v>
      </c>
      <c r="AR281">
        <v>7</v>
      </c>
    </row>
    <row r="282" spans="1:44" x14ac:dyDescent="0.3">
      <c r="A282" t="s">
        <v>56</v>
      </c>
      <c r="B282" t="s">
        <v>45</v>
      </c>
      <c r="C282" t="s">
        <v>69</v>
      </c>
      <c r="D282" t="s">
        <v>59</v>
      </c>
      <c r="E282" t="s">
        <v>60</v>
      </c>
      <c r="F282" t="s">
        <v>49</v>
      </c>
      <c r="G282" t="s">
        <v>373</v>
      </c>
      <c r="H282">
        <v>395</v>
      </c>
      <c r="I282" t="s">
        <v>51</v>
      </c>
      <c r="J282" t="s">
        <v>63</v>
      </c>
      <c r="K282" t="s">
        <v>53</v>
      </c>
      <c r="L282" t="s">
        <v>56</v>
      </c>
      <c r="M282" t="s">
        <v>54</v>
      </c>
      <c r="N282">
        <v>3</v>
      </c>
      <c r="O282">
        <v>-2</v>
      </c>
      <c r="P282">
        <v>0</v>
      </c>
      <c r="Q282">
        <v>28</v>
      </c>
      <c r="R282">
        <v>0</v>
      </c>
      <c r="T282">
        <v>0</v>
      </c>
      <c r="U282">
        <v>1</v>
      </c>
      <c r="V282">
        <v>1117</v>
      </c>
      <c r="W282">
        <v>8</v>
      </c>
      <c r="X282" t="s">
        <v>55</v>
      </c>
      <c r="Y282">
        <v>1</v>
      </c>
      <c r="Z282">
        <v>4</v>
      </c>
      <c r="AA282">
        <v>66</v>
      </c>
      <c r="AB282">
        <v>3</v>
      </c>
      <c r="AC282">
        <v>1</v>
      </c>
      <c r="AD282">
        <v>2</v>
      </c>
      <c r="AE282">
        <v>3310</v>
      </c>
      <c r="AF282">
        <v>4488</v>
      </c>
      <c r="AG282">
        <v>1</v>
      </c>
      <c r="AH282">
        <v>21</v>
      </c>
      <c r="AI282">
        <v>4</v>
      </c>
      <c r="AJ282">
        <v>4</v>
      </c>
      <c r="AK282">
        <v>80</v>
      </c>
      <c r="AL282">
        <v>0</v>
      </c>
      <c r="AM282">
        <v>5</v>
      </c>
      <c r="AN282">
        <v>3</v>
      </c>
      <c r="AO282">
        <v>5</v>
      </c>
      <c r="AP282">
        <v>3</v>
      </c>
      <c r="AQ282">
        <v>0</v>
      </c>
      <c r="AR282">
        <v>2</v>
      </c>
    </row>
    <row r="283" spans="1:44" x14ac:dyDescent="0.3">
      <c r="A283" t="s">
        <v>56</v>
      </c>
      <c r="B283" t="s">
        <v>57</v>
      </c>
      <c r="C283" t="s">
        <v>69</v>
      </c>
      <c r="D283" t="s">
        <v>59</v>
      </c>
      <c r="E283" t="s">
        <v>60</v>
      </c>
      <c r="F283" t="s">
        <v>72</v>
      </c>
      <c r="G283" t="s">
        <v>368</v>
      </c>
      <c r="H283">
        <v>390</v>
      </c>
      <c r="I283" t="s">
        <v>62</v>
      </c>
      <c r="J283" t="s">
        <v>83</v>
      </c>
      <c r="K283" t="s">
        <v>64</v>
      </c>
      <c r="L283" t="s">
        <v>44</v>
      </c>
      <c r="M283" t="s">
        <v>54</v>
      </c>
      <c r="N283">
        <v>3</v>
      </c>
      <c r="O283">
        <v>-2</v>
      </c>
      <c r="P283">
        <v>0</v>
      </c>
      <c r="Q283">
        <v>26</v>
      </c>
      <c r="R283">
        <v>0</v>
      </c>
      <c r="T283">
        <v>0</v>
      </c>
      <c r="U283">
        <v>1</v>
      </c>
      <c r="V283">
        <v>496</v>
      </c>
      <c r="W283">
        <v>11</v>
      </c>
      <c r="X283" t="s">
        <v>55</v>
      </c>
      <c r="Y283">
        <v>1</v>
      </c>
      <c r="Z283">
        <v>1</v>
      </c>
      <c r="AA283">
        <v>60</v>
      </c>
      <c r="AB283">
        <v>3</v>
      </c>
      <c r="AC283">
        <v>2</v>
      </c>
      <c r="AD283">
        <v>3</v>
      </c>
      <c r="AE283">
        <v>4741</v>
      </c>
      <c r="AF283">
        <v>22722</v>
      </c>
      <c r="AG283">
        <v>1</v>
      </c>
      <c r="AH283">
        <v>13</v>
      </c>
      <c r="AI283">
        <v>3</v>
      </c>
      <c r="AJ283">
        <v>3</v>
      </c>
      <c r="AK283">
        <v>80</v>
      </c>
      <c r="AL283">
        <v>1</v>
      </c>
      <c r="AM283">
        <v>5</v>
      </c>
      <c r="AN283">
        <v>3</v>
      </c>
      <c r="AO283">
        <v>5</v>
      </c>
      <c r="AP283">
        <v>3</v>
      </c>
      <c r="AQ283">
        <v>3</v>
      </c>
      <c r="AR283">
        <v>3</v>
      </c>
    </row>
    <row r="284" spans="1:44" x14ac:dyDescent="0.3">
      <c r="A284" t="s">
        <v>56</v>
      </c>
      <c r="B284" t="s">
        <v>45</v>
      </c>
      <c r="C284" t="s">
        <v>75</v>
      </c>
      <c r="D284" t="s">
        <v>59</v>
      </c>
      <c r="E284" t="s">
        <v>60</v>
      </c>
      <c r="F284" t="s">
        <v>113</v>
      </c>
      <c r="G284" t="s">
        <v>367</v>
      </c>
      <c r="H284">
        <v>389</v>
      </c>
      <c r="I284" t="s">
        <v>62</v>
      </c>
      <c r="J284" t="s">
        <v>68</v>
      </c>
      <c r="K284" t="s">
        <v>64</v>
      </c>
      <c r="L284" t="s">
        <v>44</v>
      </c>
      <c r="M284" t="s">
        <v>54</v>
      </c>
      <c r="N284">
        <v>4</v>
      </c>
      <c r="O284">
        <v>-2</v>
      </c>
      <c r="P284">
        <v>0</v>
      </c>
      <c r="Q284">
        <v>55</v>
      </c>
      <c r="R284">
        <v>0</v>
      </c>
      <c r="T284">
        <v>0</v>
      </c>
      <c r="U284">
        <v>1</v>
      </c>
      <c r="V284">
        <v>147</v>
      </c>
      <c r="W284">
        <v>20</v>
      </c>
      <c r="X284" t="s">
        <v>55</v>
      </c>
      <c r="Y284">
        <v>1</v>
      </c>
      <c r="Z284">
        <v>4</v>
      </c>
      <c r="AA284">
        <v>37</v>
      </c>
      <c r="AB284">
        <v>3</v>
      </c>
      <c r="AC284">
        <v>2</v>
      </c>
      <c r="AD284">
        <v>4</v>
      </c>
      <c r="AE284">
        <v>5415</v>
      </c>
      <c r="AF284">
        <v>15972</v>
      </c>
      <c r="AG284">
        <v>3</v>
      </c>
      <c r="AH284">
        <v>19</v>
      </c>
      <c r="AI284">
        <v>3</v>
      </c>
      <c r="AJ284">
        <v>4</v>
      </c>
      <c r="AK284">
        <v>80</v>
      </c>
      <c r="AL284">
        <v>1</v>
      </c>
      <c r="AM284">
        <v>12</v>
      </c>
      <c r="AN284">
        <v>3</v>
      </c>
      <c r="AO284">
        <v>10</v>
      </c>
      <c r="AP284">
        <v>7</v>
      </c>
      <c r="AQ284">
        <v>0</v>
      </c>
      <c r="AR284">
        <v>8</v>
      </c>
    </row>
    <row r="285" spans="1:44" x14ac:dyDescent="0.3">
      <c r="A285" t="s">
        <v>56</v>
      </c>
      <c r="B285" t="s">
        <v>57</v>
      </c>
      <c r="C285" t="s">
        <v>69</v>
      </c>
      <c r="D285" t="s">
        <v>59</v>
      </c>
      <c r="E285" t="s">
        <v>48</v>
      </c>
      <c r="F285" t="s">
        <v>49</v>
      </c>
      <c r="G285" t="s">
        <v>366</v>
      </c>
      <c r="H285">
        <v>388</v>
      </c>
      <c r="I285" t="s">
        <v>62</v>
      </c>
      <c r="J285" t="s">
        <v>52</v>
      </c>
      <c r="K285" t="s">
        <v>53</v>
      </c>
      <c r="L285" t="s">
        <v>56</v>
      </c>
      <c r="M285" t="s">
        <v>54</v>
      </c>
      <c r="N285">
        <v>3</v>
      </c>
      <c r="O285">
        <v>-2</v>
      </c>
      <c r="P285">
        <v>0</v>
      </c>
      <c r="Q285">
        <v>29</v>
      </c>
      <c r="R285">
        <v>0</v>
      </c>
      <c r="T285">
        <v>0</v>
      </c>
      <c r="U285">
        <v>1</v>
      </c>
      <c r="V285">
        <v>442</v>
      </c>
      <c r="W285">
        <v>2</v>
      </c>
      <c r="X285" t="s">
        <v>55</v>
      </c>
      <c r="Y285">
        <v>1</v>
      </c>
      <c r="Z285">
        <v>2</v>
      </c>
      <c r="AA285">
        <v>44</v>
      </c>
      <c r="AB285">
        <v>3</v>
      </c>
      <c r="AC285">
        <v>2</v>
      </c>
      <c r="AD285">
        <v>2</v>
      </c>
      <c r="AE285">
        <v>4554</v>
      </c>
      <c r="AF285">
        <v>20260</v>
      </c>
      <c r="AG285">
        <v>1</v>
      </c>
      <c r="AH285">
        <v>18</v>
      </c>
      <c r="AI285">
        <v>3</v>
      </c>
      <c r="AJ285">
        <v>1</v>
      </c>
      <c r="AK285">
        <v>80</v>
      </c>
      <c r="AL285">
        <v>0</v>
      </c>
      <c r="AM285">
        <v>10</v>
      </c>
      <c r="AN285">
        <v>2</v>
      </c>
      <c r="AO285">
        <v>10</v>
      </c>
      <c r="AP285">
        <v>7</v>
      </c>
      <c r="AQ285">
        <v>0</v>
      </c>
      <c r="AR285">
        <v>9</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workbookViewId="0">
      <selection sqref="A1:XFD1048576"/>
    </sheetView>
  </sheetViews>
  <sheetFormatPr defaultColWidth="11.19921875" defaultRowHeight="15" customHeight="1" x14ac:dyDescent="0.3"/>
  <cols>
    <col min="1" max="1" width="9.796875" customWidth="1"/>
    <col min="2" max="2" width="15.3984375" customWidth="1"/>
    <col min="3" max="3" width="13.296875" customWidth="1"/>
    <col min="4" max="4" width="17.59765625" customWidth="1"/>
    <col min="5" max="5" width="12.796875" customWidth="1"/>
    <col min="6" max="6" width="15.3984375" customWidth="1"/>
    <col min="7" max="7" width="9" customWidth="1"/>
    <col min="8" max="8" width="18.09765625" customWidth="1"/>
    <col min="9" max="9" width="8.59765625" customWidth="1"/>
    <col min="10" max="10" width="23.296875" customWidth="1"/>
    <col min="11" max="11" width="14.3984375" customWidth="1"/>
    <col min="12" max="12" width="11.19921875" customWidth="1"/>
    <col min="13" max="13" width="8.59765625" customWidth="1"/>
    <col min="14" max="14" width="22.796875" customWidth="1"/>
    <col min="15" max="17" width="8.59765625" customWidth="1"/>
    <col min="18" max="18" width="17.8984375" customWidth="1"/>
    <col min="19" max="19" width="18.69921875" customWidth="1"/>
    <col min="20" max="20" width="16.3984375" customWidth="1"/>
    <col min="21" max="21" width="20.3984375" customWidth="1"/>
    <col min="22" max="22" width="11.09765625" customWidth="1"/>
    <col min="23" max="23" width="20.09765625" customWidth="1"/>
    <col min="24" max="24" width="16" customWidth="1"/>
    <col min="25" max="25" width="16.3984375" customWidth="1"/>
    <col min="26" max="26" width="23.59765625" customWidth="1"/>
    <col min="27" max="27" width="12.3984375" customWidth="1"/>
    <col min="28" max="28" width="16.3984375" customWidth="1"/>
    <col min="29" max="29" width="10.19921875" customWidth="1"/>
    <col min="30" max="30" width="15.69921875" customWidth="1"/>
    <col min="31" max="31" width="16.296875" customWidth="1"/>
    <col min="32" max="32" width="14" customWidth="1"/>
    <col min="33" max="33" width="23.59765625" customWidth="1"/>
    <col min="34" max="34" width="18.796875" customWidth="1"/>
    <col min="35" max="35" width="19.09765625" customWidth="1"/>
    <col min="36" max="36" width="23.296875" customWidth="1"/>
    <col min="37" max="37" width="15.69921875" customWidth="1"/>
    <col min="38" max="38" width="18.19921875" customWidth="1"/>
    <col min="39" max="39" width="19.3984375" customWidth="1"/>
    <col min="40" max="40" width="17.59765625" customWidth="1"/>
    <col min="41" max="41" width="17.8984375" customWidth="1"/>
    <col min="42" max="42" width="20.296875" customWidth="1"/>
    <col min="43" max="43" width="25.19921875" customWidth="1"/>
    <col min="44" max="44" width="23.69921875" customWidth="1"/>
  </cols>
  <sheetData>
    <row r="1" spans="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Sheet10</vt:lpstr>
      <vt:lpstr>Sheet1</vt:lpstr>
      <vt:lpstr>Sheet2</vt:lpstr>
      <vt:lpstr>Sheet3</vt:lpstr>
      <vt:lpstr>Sheet4</vt:lpstr>
      <vt:lpstr>Sheet5</vt:lpstr>
      <vt:lpstr>Sheet6</vt:lpstr>
      <vt:lpstr>Sheet8</vt:lpstr>
      <vt:lpstr>Sheet9</vt:lpstr>
      <vt:lpstr>Sheet11</vt:lpstr>
      <vt:lpstr>Detail1</vt:lpstr>
      <vt:lpstr>Detail2</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Kalaivani Venkatesan</cp:lastModifiedBy>
  <dcterms:created xsi:type="dcterms:W3CDTF">2022-12-29T16:02:46Z</dcterms:created>
  <dcterms:modified xsi:type="dcterms:W3CDTF">2026-03-19T07:02:29Z</dcterms:modified>
</cp:coreProperties>
</file>